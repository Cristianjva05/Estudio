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C:\Users\Cristian_vergara\Downloads\"/>
    </mc:Choice>
  </mc:AlternateContent>
  <xr:revisionPtr revIDLastSave="0" documentId="13_ncr:1_{7AC48375-949C-4267-A307-A6142DAC8A1B}" xr6:coauthVersionLast="47" xr6:coauthVersionMax="47" xr10:uidLastSave="{00000000-0000-0000-0000-000000000000}"/>
  <bookViews>
    <workbookView xWindow="-108" yWindow="-108" windowWidth="23256" windowHeight="12456" activeTab="2" xr2:uid="{00000000-000D-0000-FFFF-FFFF00000000}"/>
  </bookViews>
  <sheets>
    <sheet name="Resultados" sheetId="8" r:id="rId1"/>
    <sheet name="Instrucciones" sheetId="1" r:id="rId2"/>
    <sheet name="base" sheetId="12" r:id="rId3"/>
    <sheet name="Sheet1" sheetId="10" r:id="rId4"/>
  </sheets>
  <externalReferences>
    <externalReference r:id="rId5"/>
  </externalReferences>
  <definedNames>
    <definedName name="_xlnm._FilterDatabase" localSheetId="2" hidden="1">base!$A$1:$K$72</definedName>
    <definedName name="Fallas">[1]Configuracion!$Y$3:$Y$7</definedName>
    <definedName name="Horas_programadas">#REF!</definedName>
  </definedNames>
  <calcPr calcId="191029"/>
  <pivotCaches>
    <pivotCache cacheId="17" r:id="rId6"/>
    <pivotCache cacheId="24"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 l="1"/>
  <c r="N63" i="12"/>
  <c r="N62" i="12"/>
  <c r="N61" i="12"/>
  <c r="N60" i="12"/>
  <c r="N59" i="12"/>
  <c r="N58" i="12"/>
  <c r="N57" i="12"/>
  <c r="N56" i="12"/>
  <c r="N55" i="12"/>
  <c r="N54" i="12"/>
  <c r="N53" i="12"/>
  <c r="N52" i="12"/>
  <c r="N51" i="12"/>
  <c r="N50" i="12"/>
  <c r="N49" i="12"/>
  <c r="N48" i="12"/>
  <c r="N47" i="12"/>
  <c r="N46" i="12"/>
  <c r="N45" i="12"/>
  <c r="N44" i="12"/>
  <c r="N43" i="12"/>
  <c r="N42" i="12"/>
  <c r="N41" i="12"/>
  <c r="N40" i="12"/>
  <c r="N39" i="12"/>
  <c r="N38" i="12"/>
  <c r="N37" i="12"/>
  <c r="N36" i="12"/>
  <c r="N35" i="12"/>
  <c r="N34" i="12"/>
  <c r="N33" i="12"/>
  <c r="N32" i="12"/>
  <c r="N31" i="12"/>
  <c r="N30" i="12"/>
  <c r="N29" i="12"/>
  <c r="N28" i="12"/>
  <c r="N27" i="12"/>
  <c r="N26" i="12"/>
  <c r="N25" i="12"/>
  <c r="N24" i="12"/>
  <c r="N23" i="12"/>
  <c r="N22" i="12"/>
  <c r="N21" i="12"/>
  <c r="N20" i="12"/>
  <c r="N19" i="12"/>
  <c r="N18" i="12"/>
  <c r="N17" i="12"/>
  <c r="N16" i="12"/>
  <c r="N15" i="12"/>
  <c r="N14" i="12"/>
  <c r="N13" i="12"/>
  <c r="N12" i="12"/>
  <c r="N11" i="12"/>
  <c r="N10" i="12"/>
  <c r="N9" i="12"/>
  <c r="N8" i="12"/>
  <c r="N7" i="12"/>
  <c r="N6" i="12"/>
  <c r="N5" i="12"/>
  <c r="N4" i="12"/>
  <c r="N3" i="12"/>
  <c r="N2" i="12"/>
  <c r="E24" i="1"/>
  <c r="E30" i="1"/>
  <c r="E29" i="1"/>
  <c r="E28" i="1"/>
  <c r="E26" i="1"/>
  <c r="E23" i="1"/>
  <c r="L63" i="12"/>
  <c r="L62" i="12"/>
  <c r="L61" i="12"/>
  <c r="L60" i="12"/>
  <c r="L59" i="12"/>
  <c r="L58" i="12"/>
  <c r="L57" i="12"/>
  <c r="L56" i="12"/>
  <c r="L55" i="12"/>
  <c r="L54" i="12"/>
  <c r="L53" i="12"/>
  <c r="L52" i="12"/>
  <c r="L51" i="12"/>
  <c r="L50" i="12"/>
  <c r="L49" i="12"/>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8" i="12"/>
  <c r="L7" i="12"/>
  <c r="L6" i="12"/>
  <c r="L5" i="12"/>
  <c r="L4" i="12"/>
  <c r="L3" i="12"/>
  <c r="L2" i="12"/>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tc={8826BEA6-F924-4CA0-9106-A0A8E36522E4}</author>
  </authors>
  <commentList>
    <comment ref="C35" authorId="0" shapeId="0" xr:uid="{8826BEA6-F924-4CA0-9106-A0A8E36522E4}">
      <text>
        <t>[Comentario encadenado]
Su versión de Excel le permite leer este comentario encadenado; sin embargo, las ediciones que se apliquen se quitarán si el archivo se abre en una versión más reciente de Excel. Más información: https://go.microsoft.com/fwlink/?linkid=870924
Comentario:
    VAMOSSSSSSSSSSS
Respuesta:
    10/10
Respuesta:
    HOLA MUNDO</t>
      </text>
    </comment>
  </commentList>
</comments>
</file>

<file path=xl/sharedStrings.xml><?xml version="1.0" encoding="utf-8"?>
<sst xmlns="http://schemas.openxmlformats.org/spreadsheetml/2006/main" count="530" uniqueCount="222">
  <si>
    <t>Date</t>
  </si>
  <si>
    <t>Avaya</t>
  </si>
  <si>
    <t>LOB</t>
  </si>
  <si>
    <t>Agent Name</t>
  </si>
  <si>
    <t>% In Adherence</t>
  </si>
  <si>
    <t>Gladys Lazaro</t>
  </si>
  <si>
    <t>Angel Puente</t>
  </si>
  <si>
    <t>TLGWM</t>
  </si>
  <si>
    <t>Chavez, Pedro</t>
  </si>
  <si>
    <t>TLGM</t>
  </si>
  <si>
    <t>Omaña, Maria</t>
  </si>
  <si>
    <t>Perez, Abraham</t>
  </si>
  <si>
    <t>Sanchez, Jaime</t>
  </si>
  <si>
    <t>Treviño, Alejandra</t>
  </si>
  <si>
    <t>Velazquez, Daniela</t>
  </si>
  <si>
    <t>Zapata, Alma</t>
  </si>
  <si>
    <t>Zarur, Laura</t>
  </si>
  <si>
    <t>Gloria Hernandez</t>
  </si>
  <si>
    <t>Benjamin De Leon</t>
  </si>
  <si>
    <t>Cerda, Alejandra</t>
  </si>
  <si>
    <t>De La Garza, Arturo</t>
  </si>
  <si>
    <t>Drew, Benjamin</t>
  </si>
  <si>
    <t>Fernandez, Marcelo</t>
  </si>
  <si>
    <t>Flores, Laura</t>
  </si>
  <si>
    <t>Garcia, Jessica</t>
  </si>
  <si>
    <t>Gomez, Andrea</t>
  </si>
  <si>
    <t>Herrera, Abril</t>
  </si>
  <si>
    <t>Luna, Roberto</t>
  </si>
  <si>
    <t>Moreno, Dalila</t>
  </si>
  <si>
    <t>Ortega, Cynthia</t>
  </si>
  <si>
    <t>Padilla, Adrian</t>
  </si>
  <si>
    <t>Ramos, David</t>
  </si>
  <si>
    <t>Villa, Jorge</t>
  </si>
  <si>
    <t>Carlos Avila</t>
  </si>
  <si>
    <t>Aguilera, Carlos</t>
  </si>
  <si>
    <t>Carrillo, Saul</t>
  </si>
  <si>
    <t>Contreras, Mara</t>
  </si>
  <si>
    <t>Cruz, Juan</t>
  </si>
  <si>
    <t>Davila, Diego</t>
  </si>
  <si>
    <t>Gonzalez, Alejandra</t>
  </si>
  <si>
    <t>Hernandez, Diego</t>
  </si>
  <si>
    <t>Oros, Martin</t>
  </si>
  <si>
    <t>Ortiz, Diego</t>
  </si>
  <si>
    <t>Rosales, Hilda</t>
  </si>
  <si>
    <t>Sauceda, Fernando</t>
  </si>
  <si>
    <t>Vazquez, Jose</t>
  </si>
  <si>
    <t>Jorge Bustos</t>
  </si>
  <si>
    <t>Cesar Hernandez</t>
  </si>
  <si>
    <t>UHVM</t>
  </si>
  <si>
    <t>Delgado, Katia</t>
  </si>
  <si>
    <t>Escamilla, Hector</t>
  </si>
  <si>
    <t>Rangel, Santiago</t>
  </si>
  <si>
    <t>Salmon, Antonio</t>
  </si>
  <si>
    <t>Sanchez, Ana</t>
  </si>
  <si>
    <t>Villaseñor, Carlos</t>
  </si>
  <si>
    <t>Cesar Reyes</t>
  </si>
  <si>
    <t>Hernandez, Carmen</t>
  </si>
  <si>
    <t>Hernandez, Luis</t>
  </si>
  <si>
    <t>Ortiz, Jeanette</t>
  </si>
  <si>
    <t>Villarreal, Jorge</t>
  </si>
  <si>
    <t>Villatoro, Daniel</t>
  </si>
  <si>
    <t>Daniel Jimenez</t>
  </si>
  <si>
    <t>CMMCM</t>
  </si>
  <si>
    <t>Martinez, Elias</t>
  </si>
  <si>
    <t>Dulce Pedraza</t>
  </si>
  <si>
    <t>Eder Garza</t>
  </si>
  <si>
    <t>De La Garza, Pablo</t>
  </si>
  <si>
    <t>Garcia, Arif</t>
  </si>
  <si>
    <t>Gonzalez, Angel</t>
  </si>
  <si>
    <t>Gonzalez, Juan</t>
  </si>
  <si>
    <t>Lopez, Andrea</t>
  </si>
  <si>
    <t>Lozano, Roberto</t>
  </si>
  <si>
    <t>Martinez, Daniela</t>
  </si>
  <si>
    <t>Martinez, Roberto</t>
  </si>
  <si>
    <t>Monsivais, Claudette</t>
  </si>
  <si>
    <t>Nuñez, Carolina</t>
  </si>
  <si>
    <t>Rios, Alejandra</t>
  </si>
  <si>
    <t>Edgar Padilla</t>
  </si>
  <si>
    <t>Balbuena, Antonio</t>
  </si>
  <si>
    <t>De Leon, Jose</t>
  </si>
  <si>
    <t>Gaytan, Oscar</t>
  </si>
  <si>
    <t>Gloria, Daniel</t>
  </si>
  <si>
    <t>Mendizabal, Denise</t>
  </si>
  <si>
    <t>Aplicar en Hoja</t>
  </si>
  <si>
    <t>Todas</t>
  </si>
  <si>
    <t>Hoja2</t>
  </si>
  <si>
    <t>Aplica todos los bordes a la tabla.</t>
  </si>
  <si>
    <t>Aplicar el formato de fecha personalizado "dd-mmm-aa" a la columna "A"</t>
  </si>
  <si>
    <t>Aplicar formato de % con 2 decimales a la columna "J"</t>
  </si>
  <si>
    <t>Aplicar formato de hora personalizado "HH:MM:SS" a la columna "H" e "I"</t>
  </si>
  <si>
    <t>Insertar un Filtro en los encabezados de la tabla</t>
  </si>
  <si>
    <t>Instrucciones</t>
  </si>
  <si>
    <t>Aplicar formula</t>
  </si>
  <si>
    <t>Instrucciones: Aplicar las preguntas en la hoja correspondiente.</t>
  </si>
  <si>
    <t>Formula que nos arroje que día es hoy. Ejem: Martes, 23 de enero del 2011</t>
  </si>
  <si>
    <t>Ordenar datos de forma ascendente por la columna "B"</t>
  </si>
  <si>
    <t>Gráfica</t>
  </si>
  <si>
    <t>Generar una Gráfica de Barras en base a la tabla generada con la pregunta anterior.</t>
  </si>
  <si>
    <t>Ajusta el ancho de las columnas y centrar los datos de tal modo que se pueda leer claramente la tabla.</t>
  </si>
  <si>
    <t>Retira la opción de mostrar Líneas de cuadricula en todas las hojas.</t>
  </si>
  <si>
    <t>Tabla Dinámica</t>
  </si>
  <si>
    <t>Cambia el nombre de la "Hoja2" por "Base"</t>
  </si>
  <si>
    <t>Base</t>
  </si>
  <si>
    <t>Asistencia</t>
  </si>
  <si>
    <t>Formula que arroje la suma de la columna "H" únicamente para las horas programadas, esto de la hoja "Base"</t>
  </si>
  <si>
    <t>Horas programadas</t>
  </si>
  <si>
    <t>Formula que arroje el total de agentes en la hoja "Base"</t>
  </si>
  <si>
    <t>Ingresar Validación de datos, que solamente permita ingresar números enteros del 1 al 5.</t>
  </si>
  <si>
    <t>Conexión en adherencia</t>
  </si>
  <si>
    <t>Acm</t>
  </si>
  <si>
    <t>Supervisor</t>
  </si>
  <si>
    <t>Generar una Tabla Dinámica en base a la hoja "Base" la cual muestre los resultados de Adherencia a nivel Acm, Supervisor y Agente, tomar en cuenta que no es un promedio de los resultados de  adherencia por lo cual necesitan insertar un campo calculado con la siguiente formula: %ADH = Conexion en adherencia/horas programadas</t>
  </si>
  <si>
    <t>======&gt;</t>
  </si>
  <si>
    <t>Validacion</t>
  </si>
  <si>
    <t>Se revisan todas las hojas</t>
  </si>
  <si>
    <t>Se revisa la pestana</t>
  </si>
  <si>
    <t>Se revisa la hoja Base</t>
  </si>
  <si>
    <t>Generar una Tabla en base a la hoja "Base" la cual muestre los resultados de Adherencia a nivel supervisor, tomar en cuenta que no es un promedio de los resultados de  adherencia por lo cual necesitan recalcularlo en base a la siguiente formula: %ADH = Conexion en adherencia / horas programadas</t>
  </si>
  <si>
    <t>Quitar los espacios y caracteres  de cada celda en la columna "D" de tal modo que queden puros números</t>
  </si>
  <si>
    <t>Formula que arroje únicamente la suma de la columna "H" de los datos visibles ( es decir si tengo datos filtrados únicamente arrojará la suma de los datos visibles) , esto de la hoja "Base"</t>
  </si>
  <si>
    <t xml:space="preserve">PRUEBA DE EXCEL </t>
  </si>
  <si>
    <t>Aplicar formato condicional a la columna "J" con los siguientes criterios: Celda color rojo y Letras Amarillas si el resultado es mayor o igual a 90%, Celda color Verde oscuro y Letras Verde Claro si el resultado es menor a 90%</t>
  </si>
  <si>
    <t>Formula que arroje el texto de la celda "C40" en Mayúsculas</t>
  </si>
  <si>
    <t>Grafica - 30%</t>
  </si>
  <si>
    <t>Tabla Dinámica - 30%</t>
  </si>
  <si>
    <t>Formatos - 10%</t>
  </si>
  <si>
    <t>Formulas y Validación - 30%</t>
  </si>
  <si>
    <t>Insertar un Comentario en la celda "C35" con su nombre completo.</t>
  </si>
  <si>
    <t>Resultado Adherencia</t>
  </si>
  <si>
    <t>Se realiza grafica en hoja Base</t>
  </si>
  <si>
    <t>Ingresar Validación que despliegue una lista del rango "B21:B29" de la hoja base</t>
  </si>
  <si>
    <t>Formula que arroje el total de asistencias de la hoja Base ( las asistencias aparecen como "1" en la columna "G"</t>
  </si>
  <si>
    <t>Formula que arroje el nombre del agente perteneciente al numero de Avaya que se ingrese en la celda "E26" si este se encuentra en la hoja Base de lo contrario Arrojar el texto "No Encontrado".</t>
  </si>
  <si>
    <t>Formula que junte las celdas "E23 y "F23" de la hoja base</t>
  </si>
  <si>
    <t>Tabla Dinámica y grafica</t>
  </si>
  <si>
    <t>79327834</t>
  </si>
  <si>
    <t>79630</t>
  </si>
  <si>
    <t>77834783499</t>
  </si>
  <si>
    <t>79436</t>
  </si>
  <si>
    <t>76640</t>
  </si>
  <si>
    <t>77476</t>
  </si>
  <si>
    <t>79476</t>
  </si>
  <si>
    <t>79634</t>
  </si>
  <si>
    <t>79390</t>
  </si>
  <si>
    <t>77834743</t>
  </si>
  <si>
    <t>77834565</t>
  </si>
  <si>
    <t>75147</t>
  </si>
  <si>
    <t>77834046</t>
  </si>
  <si>
    <t>77077834</t>
  </si>
  <si>
    <t>79437</t>
  </si>
  <si>
    <t>76678342</t>
  </si>
  <si>
    <t>77783427834</t>
  </si>
  <si>
    <t>79074</t>
  </si>
  <si>
    <t>79536</t>
  </si>
  <si>
    <t>79252</t>
  </si>
  <si>
    <t>77834783491</t>
  </si>
  <si>
    <t>75571</t>
  </si>
  <si>
    <t>76976</t>
  </si>
  <si>
    <t>77834146</t>
  </si>
  <si>
    <t>79523</t>
  </si>
  <si>
    <t>79017</t>
  </si>
  <si>
    <t>79136</t>
  </si>
  <si>
    <t>79253</t>
  </si>
  <si>
    <t>79444</t>
  </si>
  <si>
    <t>79070</t>
  </si>
  <si>
    <t>79614</t>
  </si>
  <si>
    <t>77834747</t>
  </si>
  <si>
    <t>79442</t>
  </si>
  <si>
    <t>79633</t>
  </si>
  <si>
    <t>79783430</t>
  </si>
  <si>
    <t>77834377</t>
  </si>
  <si>
    <t>75901</t>
  </si>
  <si>
    <t>77834045</t>
  </si>
  <si>
    <t>79197</t>
  </si>
  <si>
    <t>79375</t>
  </si>
  <si>
    <t>79677</t>
  </si>
  <si>
    <t>79064</t>
  </si>
  <si>
    <t>77834067</t>
  </si>
  <si>
    <t>79369</t>
  </si>
  <si>
    <t>77834503</t>
  </si>
  <si>
    <t>77834501</t>
  </si>
  <si>
    <t>77778349</t>
  </si>
  <si>
    <t>77834697</t>
  </si>
  <si>
    <t>77778347</t>
  </si>
  <si>
    <t>77834478344</t>
  </si>
  <si>
    <t>77834562</t>
  </si>
  <si>
    <t>77834630</t>
  </si>
  <si>
    <t>77834552</t>
  </si>
  <si>
    <t>77834601</t>
  </si>
  <si>
    <t>79762</t>
  </si>
  <si>
    <t>79203</t>
  </si>
  <si>
    <t>79243</t>
  </si>
  <si>
    <t>79067834</t>
  </si>
  <si>
    <t>77834516</t>
  </si>
  <si>
    <t>77834156</t>
  </si>
  <si>
    <t>77834746</t>
  </si>
  <si>
    <t>Que comando o formula uso? R: ulitice la opcion de remplazar con el comando de incono + L y la formula de limpiar por si tiene espacion que no se van con la opcion de remplazar</t>
  </si>
  <si>
    <t>CONTAR AGENTE NO DUPLICADO</t>
  </si>
  <si>
    <t>=HOY()</t>
  </si>
  <si>
    <t>=BUSCARX(base!E26;base!E:E;base!C:C;"NO ENCONTRADO";0)</t>
  </si>
  <si>
    <t>=base!E23&amp;base!F23</t>
  </si>
  <si>
    <t>=CONTAR.SI(base!G:G;1)</t>
  </si>
  <si>
    <t>=CONTARA(base!F:F)</t>
  </si>
  <si>
    <t>=MAYUSC(base!C40)</t>
  </si>
  <si>
    <t>HORA PROGRAMADA BUSCADA 16:30:00</t>
  </si>
  <si>
    <t>=CONTARA(base!F2;base!F3;base!F13;base!F14;)</t>
  </si>
  <si>
    <t>=contar.si.cojunto</t>
  </si>
  <si>
    <t>Etiquetas de fila</t>
  </si>
  <si>
    <t>Total general</t>
  </si>
  <si>
    <t>Cuenta de Resultado Adherencia</t>
  </si>
  <si>
    <t>Total Dulce Pedraza</t>
  </si>
  <si>
    <t>Total Gladys Lazaro</t>
  </si>
  <si>
    <t>Total Gloria Hernandez</t>
  </si>
  <si>
    <t>Total Jorge Bustos</t>
  </si>
  <si>
    <t>Total Eder Garza</t>
  </si>
  <si>
    <t>Total Angel Puente</t>
  </si>
  <si>
    <t>Total Carlos Avila</t>
  </si>
  <si>
    <t>Total Cesar Reyes</t>
  </si>
  <si>
    <t>Total Edgar Padilla</t>
  </si>
  <si>
    <t>Total Benjamin De Leon</t>
  </si>
  <si>
    <t>Total Cesar Hernandez</t>
  </si>
  <si>
    <t>Total Daniel Jimenez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</si>
</sst>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6" formatCode="[$-F800]dddd\,\ mmmm\ dd\,\ yyyy"/>
    <numFmt numFmtId="167" formatCode="dd\-mmm\-yy"/>
    <numFmt numFmtId="169" formatCode="hh:mm:ss"/>
  </numFmts>
  <fonts count="12" x14ac:knownFonts="1">
    <font>
      <sz val="10"/>
      <color theme="1"/>
      <name val="Arial"/>
      <family val="2"/>
    </font>
    <font>
      <sz val="10"/>
      <name val="Arial"/>
      <family val="2"/>
    </font>
    <font>
      <sz val="10"/>
      <color theme="0"/>
      <name val="Arial"/>
      <family val="2"/>
    </font>
    <font>
      <b/>
      <sz val="10"/>
      <color theme="1"/>
      <name val="Arial"/>
      <family val="2"/>
    </font>
    <font>
      <b/>
      <sz val="11"/>
      <color theme="0"/>
      <name val="Arial"/>
      <family val="2"/>
    </font>
    <font>
      <b/>
      <sz val="24"/>
      <color theme="0"/>
      <name val="Arial"/>
      <family val="2"/>
    </font>
    <font>
      <b/>
      <sz val="12"/>
      <color theme="0"/>
      <name val="Arial"/>
      <family val="2"/>
    </font>
    <font>
      <sz val="10"/>
      <color theme="1"/>
      <name val="Tahoma"/>
      <family val="2"/>
    </font>
    <font>
      <b/>
      <sz val="10"/>
      <color rgb="FFFF0000"/>
      <name val="Arial"/>
      <family val="2"/>
    </font>
    <font>
      <sz val="10"/>
      <color theme="1"/>
      <name val="Arial"/>
      <family val="2"/>
    </font>
    <font>
      <b/>
      <i/>
      <sz val="10"/>
      <color theme="1"/>
      <name val="Arial"/>
      <family val="2"/>
    </font>
    <font>
      <sz val="9"/>
      <color indexed="81"/>
      <name val="Tahoma"/>
      <family val="2"/>
    </font>
  </fonts>
  <fills count="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3" tint="0.39997558519241921"/>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7" fillId="0" borderId="0"/>
    <xf numFmtId="9" fontId="9" fillId="0" borderId="0" applyFont="0" applyFill="0" applyBorder="0" applyAlignment="0" applyProtection="0"/>
  </cellStyleXfs>
  <cellXfs count="77">
    <xf numFmtId="0" fontId="0" fillId="0" borderId="0" xfId="0"/>
    <xf numFmtId="0" fontId="0" fillId="3" borderId="0" xfId="0" applyFill="1"/>
    <xf numFmtId="0" fontId="3"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9" fontId="3" fillId="0" borderId="0" xfId="0" applyNumberFormat="1" applyFont="1" applyAlignment="1">
      <alignment horizontal="center" vertical="center"/>
    </xf>
    <xf numFmtId="164" fontId="3" fillId="0" borderId="0" xfId="2" applyNumberFormat="1" applyFont="1" applyAlignment="1">
      <alignment horizontal="center" vertical="center"/>
    </xf>
    <xf numFmtId="0" fontId="0" fillId="3" borderId="0" xfId="0" applyFill="1" applyAlignment="1">
      <alignment horizontal="center" vertical="center"/>
    </xf>
    <xf numFmtId="0" fontId="4" fillId="2" borderId="0" xfId="0" applyFont="1" applyFill="1" applyAlignment="1">
      <alignment horizontal="center" vertical="center"/>
    </xf>
    <xf numFmtId="0" fontId="0" fillId="3" borderId="0" xfId="0" applyFill="1" applyAlignment="1">
      <alignment vertical="center" wrapText="1"/>
    </xf>
    <xf numFmtId="0" fontId="1" fillId="0" borderId="0" xfId="0" quotePrefix="1" applyFont="1" applyAlignment="1">
      <alignment horizontal="center" vertical="center"/>
    </xf>
    <xf numFmtId="0" fontId="2" fillId="2" borderId="0" xfId="0" applyFont="1" applyFill="1" applyAlignment="1" applyProtection="1">
      <alignment horizontal="center" vertical="center"/>
      <protection locked="0"/>
    </xf>
    <xf numFmtId="0" fontId="8" fillId="0" borderId="0" xfId="0" applyFont="1" applyAlignment="1" applyProtection="1">
      <alignment horizontal="center" vertical="center" wrapText="1"/>
      <protection locked="0"/>
    </xf>
    <xf numFmtId="0" fontId="0" fillId="0" borderId="0" xfId="0" applyAlignment="1">
      <alignment vertical="center" wrapText="1"/>
    </xf>
    <xf numFmtId="0" fontId="0" fillId="0" borderId="0" xfId="0" applyAlignment="1">
      <alignment horizontal="center" vertical="center" wrapText="1"/>
    </xf>
    <xf numFmtId="0" fontId="6" fillId="4" borderId="0" xfId="0" applyFont="1" applyFill="1" applyAlignment="1">
      <alignment horizontal="center" vertical="center"/>
    </xf>
    <xf numFmtId="0" fontId="8" fillId="0" borderId="0" xfId="0" applyFont="1" applyAlignment="1">
      <alignment horizontal="center" vertical="center"/>
    </xf>
    <xf numFmtId="0" fontId="4" fillId="2" borderId="0" xfId="0" applyFont="1" applyFill="1" applyAlignment="1">
      <alignment horizontal="center" vertical="center"/>
    </xf>
    <xf numFmtId="166" fontId="8" fillId="0" borderId="0" xfId="0" applyNumberFormat="1" applyFont="1" applyAlignment="1">
      <alignment horizontal="center" vertical="center"/>
    </xf>
    <xf numFmtId="1" fontId="8" fillId="0" borderId="0" xfId="0" applyNumberFormat="1" applyFont="1" applyAlignment="1">
      <alignment horizontal="center" vertical="center"/>
    </xf>
    <xf numFmtId="46" fontId="8" fillId="0" borderId="0" xfId="0" applyNumberFormat="1" applyFont="1" applyAlignment="1">
      <alignment horizontal="center" vertical="center"/>
    </xf>
    <xf numFmtId="0" fontId="10" fillId="0" borderId="0" xfId="0" applyFon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0" fontId="5" fillId="2" borderId="0" xfId="0" applyFont="1" applyFill="1" applyAlignment="1">
      <alignment horizontal="center" vertical="center"/>
    </xf>
    <xf numFmtId="0" fontId="8" fillId="5" borderId="0" xfId="0" applyFont="1" applyFill="1" applyAlignment="1">
      <alignment horizontal="center" vertical="center"/>
    </xf>
    <xf numFmtId="0" fontId="0" fillId="0" borderId="1" xfId="0" applyBorder="1" applyAlignment="1">
      <alignment horizontal="center" vertical="center" wrapText="1"/>
    </xf>
    <xf numFmtId="10" fontId="0" fillId="0" borderId="6" xfId="0" applyNumberFormat="1" applyBorder="1" applyAlignment="1">
      <alignment horizontal="center" wrapText="1"/>
    </xf>
    <xf numFmtId="0" fontId="0" fillId="0" borderId="8" xfId="0" applyBorder="1" applyAlignment="1">
      <alignment horizontal="center" vertical="center" wrapText="1"/>
    </xf>
    <xf numFmtId="10" fontId="0" fillId="0" borderId="1" xfId="2" applyNumberFormat="1" applyFont="1" applyBorder="1" applyAlignment="1">
      <alignment horizontal="center" vertical="center" wrapText="1"/>
    </xf>
    <xf numFmtId="10" fontId="0" fillId="0" borderId="8" xfId="2" applyNumberFormat="1" applyFont="1" applyBorder="1" applyAlignment="1">
      <alignment horizontal="center" vertical="center" wrapText="1"/>
    </xf>
    <xf numFmtId="167" fontId="0" fillId="0" borderId="5" xfId="0" applyNumberFormat="1" applyBorder="1" applyAlignment="1">
      <alignment horizontal="center" vertical="center" wrapText="1"/>
    </xf>
    <xf numFmtId="167" fontId="0" fillId="0" borderId="7" xfId="0" applyNumberFormat="1" applyBorder="1" applyAlignment="1">
      <alignment horizontal="center" vertical="center" wrapText="1"/>
    </xf>
    <xf numFmtId="169" fontId="0" fillId="0" borderId="1" xfId="0" applyNumberFormat="1" applyBorder="1" applyAlignment="1">
      <alignment horizontal="center" vertical="center" wrapText="1"/>
    </xf>
    <xf numFmtId="169" fontId="0" fillId="0" borderId="8" xfId="0" applyNumberFormat="1" applyBorder="1" applyAlignment="1">
      <alignment horizontal="center" vertical="center" wrapText="1"/>
    </xf>
    <xf numFmtId="169" fontId="0" fillId="0" borderId="0" xfId="0" applyNumberFormat="1" applyAlignment="1">
      <alignment horizontal="center" vertical="center" wrapText="1"/>
    </xf>
    <xf numFmtId="0" fontId="0" fillId="0" borderId="0" xfId="0" applyAlignment="1">
      <alignment wrapText="1"/>
    </xf>
    <xf numFmtId="9" fontId="0" fillId="0" borderId="0" xfId="2" applyFont="1" applyAlignment="1">
      <alignment wrapText="1"/>
    </xf>
    <xf numFmtId="167" fontId="0" fillId="0" borderId="0" xfId="0" applyNumberFormat="1" applyAlignment="1">
      <alignment wrapText="1"/>
    </xf>
    <xf numFmtId="169" fontId="0" fillId="0" borderId="0" xfId="0" applyNumberFormat="1" applyAlignment="1">
      <alignment wrapText="1"/>
    </xf>
    <xf numFmtId="167" fontId="0" fillId="6" borderId="2" xfId="0" applyNumberFormat="1" applyFill="1" applyBorder="1" applyAlignment="1">
      <alignment horizontal="center" vertical="center" wrapText="1"/>
    </xf>
    <xf numFmtId="0" fontId="0" fillId="6" borderId="3" xfId="0" applyFill="1" applyBorder="1" applyAlignment="1">
      <alignment horizontal="center" vertical="center" wrapText="1"/>
    </xf>
    <xf numFmtId="169" fontId="0" fillId="6" borderId="3" xfId="0" applyNumberFormat="1" applyFill="1" applyBorder="1" applyAlignment="1">
      <alignment horizontal="center" vertical="center" wrapText="1"/>
    </xf>
    <xf numFmtId="10" fontId="0" fillId="6" borderId="3" xfId="2" applyNumberFormat="1" applyFont="1" applyFill="1" applyBorder="1" applyAlignment="1">
      <alignment horizontal="center" vertical="center" wrapText="1"/>
    </xf>
    <xf numFmtId="49" fontId="0" fillId="0" borderId="0" xfId="0" applyNumberFormat="1"/>
    <xf numFmtId="49" fontId="0" fillId="3" borderId="0" xfId="0" applyNumberFormat="1" applyFill="1"/>
    <xf numFmtId="49" fontId="0" fillId="0" borderId="0" xfId="0" applyNumberFormat="1" applyAlignment="1">
      <alignment vertical="center"/>
    </xf>
    <xf numFmtId="49" fontId="8" fillId="0" borderId="0" xfId="0" applyNumberFormat="1" applyFont="1" applyAlignment="1">
      <alignment horizontal="center" vertical="center"/>
    </xf>
    <xf numFmtId="2" fontId="0" fillId="0" borderId="0" xfId="0" applyNumberFormat="1" applyAlignment="1">
      <alignment wrapText="1"/>
    </xf>
    <xf numFmtId="0" fontId="8" fillId="0" borderId="0" xfId="0" applyNumberFormat="1" applyFont="1" applyAlignment="1">
      <alignment horizontal="center" vertical="center"/>
    </xf>
    <xf numFmtId="10" fontId="0" fillId="0" borderId="0" xfId="0" applyNumberFormat="1" applyAlignment="1">
      <alignment horizontal="left"/>
    </xf>
    <xf numFmtId="0" fontId="0" fillId="0" borderId="0" xfId="0" applyNumberFormat="1"/>
    <xf numFmtId="10" fontId="1" fillId="6" borderId="4" xfId="0" applyNumberFormat="1" applyFont="1" applyFill="1" applyBorder="1" applyAlignment="1">
      <alignment horizontal="center" vertical="center" wrapText="1"/>
    </xf>
    <xf numFmtId="10" fontId="0" fillId="0" borderId="0" xfId="0" applyNumberFormat="1" applyAlignment="1">
      <alignment wrapText="1"/>
    </xf>
    <xf numFmtId="10" fontId="0" fillId="0" borderId="0" xfId="0" pivotButton="1" applyNumberFormat="1"/>
    <xf numFmtId="167" fontId="0" fillId="0" borderId="0" xfId="0" applyNumberFormat="1" applyBorder="1" applyAlignment="1">
      <alignment horizontal="center" vertical="center" wrapText="1"/>
    </xf>
    <xf numFmtId="0" fontId="0" fillId="0" borderId="0" xfId="0" applyBorder="1" applyAlignment="1">
      <alignment horizontal="center" vertical="center" wrapText="1"/>
    </xf>
    <xf numFmtId="169" fontId="0" fillId="0" borderId="0" xfId="0" applyNumberFormat="1" applyBorder="1" applyAlignment="1">
      <alignment horizontal="center" vertical="center" wrapText="1"/>
    </xf>
    <xf numFmtId="10" fontId="0" fillId="0" borderId="0" xfId="0" applyNumberFormat="1" applyBorder="1" applyAlignment="1">
      <alignment horizontal="center" wrapText="1"/>
    </xf>
    <xf numFmtId="10" fontId="0" fillId="0" borderId="0" xfId="2" applyNumberFormat="1" applyFont="1" applyBorder="1" applyAlignment="1">
      <alignment horizontal="center" vertical="center" wrapText="1"/>
    </xf>
    <xf numFmtId="10" fontId="0" fillId="3" borderId="0" xfId="2" applyNumberFormat="1" applyFont="1" applyFill="1" applyAlignment="1">
      <alignment wrapText="1"/>
    </xf>
    <xf numFmtId="0" fontId="3" fillId="0" borderId="0" xfId="0" applyFont="1" applyAlignment="1">
      <alignment horizontal="center" vertical="center"/>
    </xf>
    <xf numFmtId="0" fontId="0" fillId="0" borderId="0" xfId="0" applyAlignment="1">
      <alignment horizontal="center" vertical="center"/>
    </xf>
    <xf numFmtId="0" fontId="4" fillId="2" borderId="0" xfId="0" applyFont="1" applyFill="1" applyAlignment="1">
      <alignment horizontal="center" vertical="center"/>
    </xf>
    <xf numFmtId="0" fontId="0" fillId="3" borderId="0" xfId="0" applyFill="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wrapText="1"/>
    </xf>
    <xf numFmtId="0" fontId="0" fillId="0" borderId="0" xfId="0" applyNumberFormat="1"/>
    <xf numFmtId="0" fontId="0" fillId="0" borderId="0" xfId="0" applyBorder="1" applyAlignment="1">
      <alignment horizontal="center" vertical="center" wrapText="1"/>
    </xf>
    <xf numFmtId="169" fontId="0" fillId="0" borderId="0" xfId="0" applyNumberFormat="1" applyBorder="1" applyAlignment="1">
      <alignment horizontal="center" vertical="center" wrapText="1"/>
    </xf>
    <xf numFmtId="10" fontId="0" fillId="0" borderId="0" xfId="0" applyNumberFormat="1" applyBorder="1" applyAlignment="1">
      <alignment horizontal="center" wrapTex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xf>
    <xf numFmtId="0" fontId="0" fillId="0" borderId="0" xfId="0" applyAlignment="1">
      <alignment horizontal="center" vertical="center" wrapText="1"/>
    </xf>
    <xf numFmtId="10" fontId="0" fillId="0" borderId="0" xfId="0" applyNumberFormat="1" applyAlignment="1">
      <alignment horizontal="center" vertical="center" wrapText="1"/>
    </xf>
  </cellXfs>
  <cellStyles count="3">
    <cellStyle name="Normal" xfId="0" builtinId="0"/>
    <cellStyle name="Normal 2" xfId="1" xr:uid="{00000000-0005-0000-0000-000001000000}"/>
    <cellStyle name="Porcentaje" xfId="2" builtinId="5"/>
  </cellStyles>
  <dxfs count="10">
    <dxf>
      <font>
        <b val="0"/>
        <i val="0"/>
        <color rgb="FFFFFF00"/>
      </font>
      <fill>
        <patternFill>
          <bgColor rgb="FFFF0000"/>
        </patternFill>
      </fill>
    </dxf>
    <dxf>
      <font>
        <color rgb="FF92D050"/>
      </font>
      <fill>
        <patternFill>
          <bgColor rgb="FF00B050"/>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[Prueba 1 (1).xlsx]base!TablaDinámica1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484389607062359"/>
          <c:y val="0"/>
          <c:w val="0.54522407829862385"/>
          <c:h val="1"/>
        </c:manualLayout>
      </c:layout>
      <c:pieChart>
        <c:varyColors val="1"/>
        <c:ser>
          <c:idx val="0"/>
          <c:order val="0"/>
          <c:tx>
            <c:strRef>
              <c:f>base!$B$72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5"/>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6"/>
            <c:bubble3D val="0"/>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7"/>
            <c:bubble3D val="0"/>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8"/>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9"/>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30"/>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Pt>
          <c:dPt>
            <c:idx val="31"/>
            <c:bubble3D val="0"/>
            <c:spPr>
              <a:solidFill>
                <a:schemeClr val="accent2">
                  <a:lumMod val="50000"/>
                </a:schemeClr>
              </a:solidFill>
              <a:ln>
                <a:noFill/>
              </a:ln>
              <a:effectLst/>
              <a:scene3d>
                <a:camera prst="orthographicFront"/>
                <a:lightRig rig="brightRoom" dir="t"/>
              </a:scene3d>
              <a:sp3d prstMaterial="flat">
                <a:bevelT w="50800" h="101600" prst="angle"/>
                <a:contourClr>
                  <a:srgbClr val="000000"/>
                </a:contourClr>
              </a:sp3d>
            </c:spPr>
          </c:dPt>
          <c:dPt>
            <c:idx val="32"/>
            <c:bubble3D val="0"/>
            <c:spPr>
              <a:solidFill>
                <a:schemeClr val="accent3">
                  <a:lumMod val="50000"/>
                </a:schemeClr>
              </a:solidFill>
              <a:ln>
                <a:noFill/>
              </a:ln>
              <a:effectLst/>
              <a:scene3d>
                <a:camera prst="orthographicFront"/>
                <a:lightRig rig="brightRoom" dir="t"/>
              </a:scene3d>
              <a:sp3d prstMaterial="flat">
                <a:bevelT w="50800" h="101600" prst="angle"/>
                <a:contourClr>
                  <a:srgbClr val="000000"/>
                </a:contourClr>
              </a:sp3d>
            </c:spPr>
          </c:dPt>
          <c:dPt>
            <c:idx val="33"/>
            <c:bubble3D val="0"/>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dPt>
          <c:dPt>
            <c:idx val="34"/>
            <c:bubble3D val="0"/>
            <c:spPr>
              <a:solidFill>
                <a:schemeClr val="accent5">
                  <a:lumMod val="50000"/>
                </a:schemeClr>
              </a:solidFill>
              <a:ln>
                <a:noFill/>
              </a:ln>
              <a:effectLst/>
              <a:scene3d>
                <a:camera prst="orthographicFront"/>
                <a:lightRig rig="brightRoom" dir="t"/>
              </a:scene3d>
              <a:sp3d prstMaterial="flat">
                <a:bevelT w="50800" h="101600" prst="angle"/>
                <a:contourClr>
                  <a:srgbClr val="000000"/>
                </a:contourClr>
              </a:sp3d>
            </c:spPr>
          </c:dPt>
          <c:dPt>
            <c:idx val="35"/>
            <c:bubble3D val="0"/>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dPt>
          <c:dPt>
            <c:idx val="36"/>
            <c:bubble3D val="0"/>
            <c:spPr>
              <a:solidFill>
                <a:schemeClr val="accent1">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7"/>
            <c:bubble3D val="0"/>
            <c:spPr>
              <a:solidFill>
                <a:schemeClr val="accent2">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8"/>
            <c:bubble3D val="0"/>
            <c:spPr>
              <a:solidFill>
                <a:schemeClr val="accent3">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9"/>
            <c:bubble3D val="0"/>
            <c:spPr>
              <a:solidFill>
                <a:schemeClr val="accent4">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0"/>
            <c:bubble3D val="0"/>
            <c:spPr>
              <a:solidFill>
                <a:schemeClr val="accent5">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1"/>
            <c:bubble3D val="0"/>
            <c:spPr>
              <a:solidFill>
                <a:schemeClr val="accent6">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2"/>
            <c:bubble3D val="0"/>
            <c:spPr>
              <a:solidFill>
                <a:schemeClr val="accent1">
                  <a:lumMod val="70000"/>
                </a:schemeClr>
              </a:solidFill>
              <a:ln>
                <a:noFill/>
              </a:ln>
              <a:effectLst/>
              <a:scene3d>
                <a:camera prst="orthographicFront"/>
                <a:lightRig rig="brightRoom" dir="t"/>
              </a:scene3d>
              <a:sp3d prstMaterial="flat">
                <a:bevelT w="50800" h="101600" prst="angle"/>
                <a:contourClr>
                  <a:srgbClr val="000000"/>
                </a:contourClr>
              </a:sp3d>
            </c:spPr>
          </c:dPt>
          <c:dPt>
            <c:idx val="43"/>
            <c:bubble3D val="0"/>
            <c:spPr>
              <a:solidFill>
                <a:schemeClr val="accent2">
                  <a:lumMod val="70000"/>
                </a:schemeClr>
              </a:solidFill>
              <a:ln>
                <a:noFill/>
              </a:ln>
              <a:effectLst/>
              <a:scene3d>
                <a:camera prst="orthographicFront"/>
                <a:lightRig rig="brightRoom" dir="t"/>
              </a:scene3d>
              <a:sp3d prstMaterial="flat">
                <a:bevelT w="50800" h="101600" prst="angle"/>
                <a:contourClr>
                  <a:srgbClr val="000000"/>
                </a:contourClr>
              </a:sp3d>
            </c:spPr>
          </c:dPt>
          <c:dPt>
            <c:idx val="44"/>
            <c:bubble3D val="0"/>
            <c:spPr>
              <a:solidFill>
                <a:schemeClr val="accent3">
                  <a:lumMod val="70000"/>
                </a:schemeClr>
              </a:solidFill>
              <a:ln>
                <a:noFill/>
              </a:ln>
              <a:effectLst/>
              <a:scene3d>
                <a:camera prst="orthographicFront"/>
                <a:lightRig rig="brightRoom" dir="t"/>
              </a:scene3d>
              <a:sp3d prstMaterial="flat">
                <a:bevelT w="50800" h="101600" prst="angle"/>
                <a:contourClr>
                  <a:srgbClr val="000000"/>
                </a:contourClr>
              </a:sp3d>
            </c:spPr>
          </c:dPt>
          <c:dPt>
            <c:idx val="45"/>
            <c:bubble3D val="0"/>
            <c:spPr>
              <a:solidFill>
                <a:schemeClr val="accent4">
                  <a:lumMod val="70000"/>
                </a:schemeClr>
              </a:solidFill>
              <a:ln>
                <a:noFill/>
              </a:ln>
              <a:effectLst/>
              <a:scene3d>
                <a:camera prst="orthographicFront"/>
                <a:lightRig rig="brightRoom" dir="t"/>
              </a:scene3d>
              <a:sp3d prstMaterial="flat">
                <a:bevelT w="50800" h="101600" prst="angle"/>
                <a:contourClr>
                  <a:srgbClr val="000000"/>
                </a:contourClr>
              </a:sp3d>
            </c:spPr>
          </c:dPt>
          <c:dPt>
            <c:idx val="46"/>
            <c:bubble3D val="0"/>
            <c:spPr>
              <a:solidFill>
                <a:schemeClr val="accent5">
                  <a:lumMod val="70000"/>
                </a:schemeClr>
              </a:solidFill>
              <a:ln>
                <a:noFill/>
              </a:ln>
              <a:effectLst/>
              <a:scene3d>
                <a:camera prst="orthographicFront"/>
                <a:lightRig rig="brightRoom" dir="t"/>
              </a:scene3d>
              <a:sp3d prstMaterial="flat">
                <a:bevelT w="50800" h="101600" prst="angle"/>
                <a:contourClr>
                  <a:srgbClr val="000000"/>
                </a:contourClr>
              </a:sp3d>
            </c:spPr>
          </c:dPt>
          <c:dPt>
            <c:idx val="47"/>
            <c:bubble3D val="0"/>
            <c:spPr>
              <a:solidFill>
                <a:schemeClr val="accent6">
                  <a:lumMod val="70000"/>
                </a:schemeClr>
              </a:solidFill>
              <a:ln>
                <a:noFill/>
              </a:ln>
              <a:effectLst/>
              <a:scene3d>
                <a:camera prst="orthographicFront"/>
                <a:lightRig rig="brightRoom" dir="t"/>
              </a:scene3d>
              <a:sp3d prstMaterial="flat">
                <a:bevelT w="50800" h="101600" prst="angle"/>
                <a:contourClr>
                  <a:srgbClr val="000000"/>
                </a:contourClr>
              </a:sp3d>
            </c:spPr>
          </c:dPt>
          <c:dPt>
            <c:idx val="48"/>
            <c:bubble3D val="0"/>
            <c:spPr>
              <a:solidFill>
                <a:schemeClr val="accent1">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49"/>
            <c:bubble3D val="0"/>
            <c:spPr>
              <a:solidFill>
                <a:schemeClr val="accent2">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0"/>
            <c:bubble3D val="0"/>
            <c:spPr>
              <a:solidFill>
                <a:schemeClr val="accent3">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1"/>
            <c:bubble3D val="0"/>
            <c:spPr>
              <a:solidFill>
                <a:schemeClr val="accent4">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2"/>
            <c:bubble3D val="0"/>
            <c:spPr>
              <a:solidFill>
                <a:schemeClr val="accent5">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3"/>
            <c:bubble3D val="0"/>
            <c:spPr>
              <a:solidFill>
                <a:schemeClr val="accent6">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4"/>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55"/>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56"/>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57"/>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58"/>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9"/>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base!$A$73:$A$133</c:f>
              <c:strCache>
                <c:ptCount val="60"/>
                <c:pt idx="0">
                  <c:v>0,995090439276488</c:v>
                </c:pt>
                <c:pt idx="1">
                  <c:v>0,995013123359582</c:v>
                </c:pt>
                <c:pt idx="2">
                  <c:v>0,994933333333335</c:v>
                </c:pt>
                <c:pt idx="3">
                  <c:v>0,994850948509487</c:v>
                </c:pt>
                <c:pt idx="4">
                  <c:v>0,994765840220387</c:v>
                </c:pt>
                <c:pt idx="5">
                  <c:v>0,994677871148461</c:v>
                </c:pt>
                <c:pt idx="6">
                  <c:v>0,994586894586896</c:v>
                </c:pt>
                <c:pt idx="7">
                  <c:v>0,99449275362319</c:v>
                </c:pt>
                <c:pt idx="8">
                  <c:v>0,99439528023599</c:v>
                </c:pt>
                <c:pt idx="9">
                  <c:v>0,994294294294296</c:v>
                </c:pt>
                <c:pt idx="10">
                  <c:v>0,994189602446485</c:v>
                </c:pt>
                <c:pt idx="11">
                  <c:v>0,732098765432099</c:v>
                </c:pt>
                <c:pt idx="12">
                  <c:v>0,729233511586453</c:v>
                </c:pt>
                <c:pt idx="13">
                  <c:v>0,726306306306309</c:v>
                </c:pt>
                <c:pt idx="14">
                  <c:v>0,723315118397086</c:v>
                </c:pt>
                <c:pt idx="15">
                  <c:v>0,720257826887661</c:v>
                </c:pt>
                <c:pt idx="16">
                  <c:v>0,583054003724397</c:v>
                </c:pt>
                <c:pt idx="17">
                  <c:v>0,578342749529191</c:v>
                </c:pt>
                <c:pt idx="18">
                  <c:v>0,573523809523809</c:v>
                </c:pt>
                <c:pt idx="19">
                  <c:v>0,568593448940272</c:v>
                </c:pt>
                <c:pt idx="20">
                  <c:v>0,563547758284601</c:v>
                </c:pt>
                <c:pt idx="21">
                  <c:v>0,487376725838264</c:v>
                </c:pt>
                <c:pt idx="22">
                  <c:v>0,481237524950102</c:v>
                </c:pt>
                <c:pt idx="23">
                  <c:v>0,474949494949495</c:v>
                </c:pt>
                <c:pt idx="24">
                  <c:v>0,468507157464213</c:v>
                </c:pt>
                <c:pt idx="25">
                  <c:v>0,461904761904764</c:v>
                </c:pt>
                <c:pt idx="26">
                  <c:v>0,46046176046176</c:v>
                </c:pt>
                <c:pt idx="27">
                  <c:v>0,455136268343816</c:v>
                </c:pt>
                <c:pt idx="28">
                  <c:v>0,448195329087049</c:v>
                </c:pt>
                <c:pt idx="29">
                  <c:v>0,441075268817207</c:v>
                </c:pt>
                <c:pt idx="30">
                  <c:v>0,433769063180828</c:v>
                </c:pt>
                <c:pt idx="31">
                  <c:v>0,426269315673289</c:v>
                </c:pt>
                <c:pt idx="32">
                  <c:v>0,418568232662195</c:v>
                </c:pt>
                <c:pt idx="33">
                  <c:v>0,412081513828238</c:v>
                </c:pt>
                <c:pt idx="34">
                  <c:v>0,410657596371882</c:v>
                </c:pt>
                <c:pt idx="35">
                  <c:v>0,406901615271661</c:v>
                </c:pt>
                <c:pt idx="36">
                  <c:v>0,40162962962963</c:v>
                </c:pt>
                <c:pt idx="37">
                  <c:v>0,39626307922272</c:v>
                </c:pt>
                <c:pt idx="38">
                  <c:v>0,268970814132104</c:v>
                </c:pt>
                <c:pt idx="39">
                  <c:v>0,26217054263566</c:v>
                </c:pt>
                <c:pt idx="40">
                  <c:v>0,255242566510172</c:v>
                </c:pt>
                <c:pt idx="41">
                  <c:v>0,248183254344391</c:v>
                </c:pt>
                <c:pt idx="42">
                  <c:v>0,240988835725679</c:v>
                </c:pt>
                <c:pt idx="43">
                  <c:v>0,23365539452496</c:v>
                </c:pt>
                <c:pt idx="44">
                  <c:v>0,226178861788618</c:v>
                </c:pt>
                <c:pt idx="45">
                  <c:v>0,218555008210181</c:v>
                </c:pt>
                <c:pt idx="46">
                  <c:v>0,21077943615257</c:v>
                </c:pt>
                <c:pt idx="47">
                  <c:v>0,209425287356322</c:v>
                </c:pt>
                <c:pt idx="48">
                  <c:v>0,20284757118928</c:v>
                </c:pt>
                <c:pt idx="49">
                  <c:v>0,198368298368299</c:v>
                </c:pt>
                <c:pt idx="50">
                  <c:v>0,194754653130288</c:v>
                </c:pt>
                <c:pt idx="51">
                  <c:v>0,186997635933806</c:v>
                </c:pt>
                <c:pt idx="52">
                  <c:v>0,186495726495727</c:v>
                </c:pt>
                <c:pt idx="53">
                  <c:v>0,178065630397237</c:v>
                </c:pt>
                <c:pt idx="54">
                  <c:v>0,175299760191847</c:v>
                </c:pt>
                <c:pt idx="55">
                  <c:v>0,169458987783596</c:v>
                </c:pt>
                <c:pt idx="56">
                  <c:v>0,163260340632604</c:v>
                </c:pt>
                <c:pt idx="57">
                  <c:v>0,150864197530864</c:v>
                </c:pt>
                <c:pt idx="58">
                  <c:v>0,138095238095238</c:v>
                </c:pt>
                <c:pt idx="59">
                  <c:v>0,124936386768448</c:v>
                </c:pt>
              </c:strCache>
            </c:strRef>
          </c:cat>
          <c:val>
            <c:numRef>
              <c:f>base!$B$73:$B$133</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extLst>
            <c:ext xmlns:c16="http://schemas.microsoft.com/office/drawing/2014/chart" uri="{C3380CC4-5D6E-409C-BE32-E72D297353CC}">
              <c16:uniqueId val="{00000000-9F7D-4AD3-9B3F-48561B3664B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[Prueba 1 (1).xlsx]base!TablaDinámica2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base!$D$140:$D$141</c:f>
              <c:strCache>
                <c:ptCount val="1"/>
                <c:pt idx="0">
                  <c:v>12,49%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base!$D$142:$D$220</c:f>
              <c:numCache>
                <c:formatCode>General</c:formatCode>
                <c:ptCount val="62"/>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0-E40B-40B0-8123-B8DD180FE8C7}"/>
            </c:ext>
          </c:extLst>
        </c:ser>
        <c:ser>
          <c:idx val="1"/>
          <c:order val="1"/>
          <c:tx>
            <c:strRef>
              <c:f>base!$E$140:$E$141</c:f>
              <c:strCache>
                <c:ptCount val="1"/>
                <c:pt idx="0">
                  <c:v>13,81%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base!$E$142:$E$220</c:f>
              <c:numCache>
                <c:formatCode>General</c:formatCode>
                <c:ptCount val="62"/>
                <c:pt idx="0">
                  <c:v>0</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1-E40B-40B0-8123-B8DD180FE8C7}"/>
            </c:ext>
          </c:extLst>
        </c:ser>
        <c:ser>
          <c:idx val="2"/>
          <c:order val="2"/>
          <c:tx>
            <c:strRef>
              <c:f>base!$F$140:$F$141</c:f>
              <c:strCache>
                <c:ptCount val="1"/>
                <c:pt idx="0">
                  <c:v>15,09%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base!$F$142:$F$220</c:f>
              <c:numCache>
                <c:formatCode>General</c:formatCode>
                <c:ptCount val="62"/>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2-E40B-40B0-8123-B8DD180FE8C7}"/>
            </c:ext>
          </c:extLst>
        </c:ser>
        <c:ser>
          <c:idx val="3"/>
          <c:order val="3"/>
          <c:tx>
            <c:strRef>
              <c:f>base!$G$140:$G$141</c:f>
              <c:strCache>
                <c:ptCount val="1"/>
                <c:pt idx="0">
                  <c:v>16,33%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base!$G$142:$G$220</c:f>
              <c:numCache>
                <c:formatCode>General</c:formatCode>
                <c:ptCount val="62"/>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3-E40B-40B0-8123-B8DD180FE8C7}"/>
            </c:ext>
          </c:extLst>
        </c:ser>
        <c:ser>
          <c:idx val="4"/>
          <c:order val="4"/>
          <c:tx>
            <c:strRef>
              <c:f>base!$H$140:$H$141</c:f>
              <c:strCache>
                <c:ptCount val="1"/>
                <c:pt idx="0">
                  <c:v>16,95%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base!$H$142:$H$220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4-E40B-40B0-8123-B8DD180FE8C7}"/>
            </c:ext>
          </c:extLst>
        </c:ser>
        <c:ser>
          <c:idx val="5"/>
          <c:order val="5"/>
          <c:tx>
            <c:strRef>
              <c:f>base!$I$140:$I$141</c:f>
              <c:strCache>
                <c:ptCount val="1"/>
                <c:pt idx="0">
                  <c:v>17,53%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base!$I$142:$I$220</c:f>
              <c:numCache>
                <c:formatCode>General</c:formatCode>
                <c:ptCount val="62"/>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5-E40B-40B0-8123-B8DD180FE8C7}"/>
            </c:ext>
          </c:extLst>
        </c:ser>
        <c:ser>
          <c:idx val="6"/>
          <c:order val="6"/>
          <c:tx>
            <c:strRef>
              <c:f>base!$J$140:$J$141</c:f>
              <c:strCache>
                <c:ptCount val="1"/>
                <c:pt idx="0">
                  <c:v>17,81%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base!$J$142:$J$220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6-E40B-40B0-8123-B8DD180FE8C7}"/>
            </c:ext>
          </c:extLst>
        </c:ser>
        <c:ser>
          <c:idx val="7"/>
          <c:order val="7"/>
          <c:tx>
            <c:strRef>
              <c:f>base!$K$140:$K$141</c:f>
              <c:strCache>
                <c:ptCount val="1"/>
                <c:pt idx="0">
                  <c:v>18,65%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base!$K$142:$K$220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7-E40B-40B0-8123-B8DD180FE8C7}"/>
            </c:ext>
          </c:extLst>
        </c:ser>
        <c:ser>
          <c:idx val="8"/>
          <c:order val="8"/>
          <c:tx>
            <c:strRef>
              <c:f>base!$L$140:$L$141</c:f>
              <c:strCache>
                <c:ptCount val="1"/>
                <c:pt idx="0">
                  <c:v>18,70%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base!$L$142:$L$220</c:f>
              <c:numCache>
                <c:formatCode>General</c:formatCode>
                <c:ptCount val="62"/>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3F-E40B-40B0-8123-B8DD180FE8C7}"/>
            </c:ext>
          </c:extLst>
        </c:ser>
        <c:ser>
          <c:idx val="9"/>
          <c:order val="9"/>
          <c:tx>
            <c:strRef>
              <c:f>base!$M$140:$M$141</c:f>
              <c:strCache>
                <c:ptCount val="1"/>
                <c:pt idx="0">
                  <c:v>19,48%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base!$M$142:$M$220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0-E40B-40B0-8123-B8DD180FE8C7}"/>
            </c:ext>
          </c:extLst>
        </c:ser>
        <c:ser>
          <c:idx val="10"/>
          <c:order val="10"/>
          <c:tx>
            <c:strRef>
              <c:f>base!$N$140:$N$141</c:f>
              <c:strCache>
                <c:ptCount val="1"/>
                <c:pt idx="0">
                  <c:v>19,84%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base!$N$142:$N$220</c:f>
              <c:numCache>
                <c:formatCode>General</c:formatCode>
                <c:ptCount val="62"/>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1-E40B-40B0-8123-B8DD180FE8C7}"/>
            </c:ext>
          </c:extLst>
        </c:ser>
        <c:ser>
          <c:idx val="11"/>
          <c:order val="11"/>
          <c:tx>
            <c:strRef>
              <c:f>base!$O$140:$O$141</c:f>
              <c:strCache>
                <c:ptCount val="1"/>
                <c:pt idx="0">
                  <c:v>20,28%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base!$O$142:$O$220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2-E40B-40B0-8123-B8DD180FE8C7}"/>
            </c:ext>
          </c:extLst>
        </c:ser>
        <c:ser>
          <c:idx val="12"/>
          <c:order val="12"/>
          <c:tx>
            <c:strRef>
              <c:f>base!$P$140:$P$141</c:f>
              <c:strCache>
                <c:ptCount val="1"/>
                <c:pt idx="0">
                  <c:v>20,94%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base!$P$142:$P$220</c:f>
              <c:numCache>
                <c:formatCode>General</c:formatCode>
                <c:ptCount val="62"/>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3-E40B-40B0-8123-B8DD180FE8C7}"/>
            </c:ext>
          </c:extLst>
        </c:ser>
        <c:ser>
          <c:idx val="13"/>
          <c:order val="13"/>
          <c:tx>
            <c:strRef>
              <c:f>base!$Q$140:$Q$141</c:f>
              <c:strCache>
                <c:ptCount val="1"/>
                <c:pt idx="0">
                  <c:v>21,08%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base!$Q$142:$Q$220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4-E40B-40B0-8123-B8DD180FE8C7}"/>
            </c:ext>
          </c:extLst>
        </c:ser>
        <c:ser>
          <c:idx val="14"/>
          <c:order val="14"/>
          <c:tx>
            <c:strRef>
              <c:f>base!$R$140:$R$141</c:f>
              <c:strCache>
                <c:ptCount val="1"/>
                <c:pt idx="0">
                  <c:v>21,86%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base!$R$142:$R$220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5-E40B-40B0-8123-B8DD180FE8C7}"/>
            </c:ext>
          </c:extLst>
        </c:ser>
        <c:ser>
          <c:idx val="15"/>
          <c:order val="15"/>
          <c:tx>
            <c:strRef>
              <c:f>base!$S$140:$S$141</c:f>
              <c:strCache>
                <c:ptCount val="1"/>
                <c:pt idx="0">
                  <c:v>22,62%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base!$S$142:$S$220</c:f>
              <c:numCache>
                <c:formatCode>General</c:formatCode>
                <c:ptCount val="62"/>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6-E40B-40B0-8123-B8DD180FE8C7}"/>
            </c:ext>
          </c:extLst>
        </c:ser>
        <c:ser>
          <c:idx val="16"/>
          <c:order val="16"/>
          <c:tx>
            <c:strRef>
              <c:f>base!$T$140:$T$141</c:f>
              <c:strCache>
                <c:ptCount val="1"/>
                <c:pt idx="0">
                  <c:v>23,37%</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base!$T$142:$T$220</c:f>
              <c:numCache>
                <c:formatCode>General</c:formatCode>
                <c:ptCount val="62"/>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7-E40B-40B0-8123-B8DD180FE8C7}"/>
            </c:ext>
          </c:extLst>
        </c:ser>
        <c:ser>
          <c:idx val="17"/>
          <c:order val="17"/>
          <c:tx>
            <c:strRef>
              <c:f>base!$U$140:$U$141</c:f>
              <c:strCache>
                <c:ptCount val="1"/>
                <c:pt idx="0">
                  <c:v>24,10%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base!$U$142:$U$220</c:f>
              <c:numCache>
                <c:formatCode>General</c:formatCode>
                <c:ptCount val="62"/>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8-E40B-40B0-8123-B8DD180FE8C7}"/>
            </c:ext>
          </c:extLst>
        </c:ser>
        <c:ser>
          <c:idx val="18"/>
          <c:order val="18"/>
          <c:tx>
            <c:strRef>
              <c:f>base!$V$140:$V$141</c:f>
              <c:strCache>
                <c:ptCount val="1"/>
                <c:pt idx="0">
                  <c:v>24,82%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base!$V$142:$V$220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9-E40B-40B0-8123-B8DD180FE8C7}"/>
            </c:ext>
          </c:extLst>
        </c:ser>
        <c:ser>
          <c:idx val="19"/>
          <c:order val="19"/>
          <c:tx>
            <c:strRef>
              <c:f>base!$W$140:$W$141</c:f>
              <c:strCache>
                <c:ptCount val="1"/>
                <c:pt idx="0">
                  <c:v>25,52%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base!$W$142:$W$220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A-E40B-40B0-8123-B8DD180FE8C7}"/>
            </c:ext>
          </c:extLst>
        </c:ser>
        <c:ser>
          <c:idx val="20"/>
          <c:order val="20"/>
          <c:tx>
            <c:strRef>
              <c:f>base!$X$140:$X$141</c:f>
              <c:strCache>
                <c:ptCount val="1"/>
                <c:pt idx="0">
                  <c:v>26,22%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base!$X$142:$X$220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B-E40B-40B0-8123-B8DD180FE8C7}"/>
            </c:ext>
          </c:extLst>
        </c:ser>
        <c:ser>
          <c:idx val="21"/>
          <c:order val="21"/>
          <c:tx>
            <c:strRef>
              <c:f>base!$Y$140:$Y$141</c:f>
              <c:strCache>
                <c:ptCount val="1"/>
                <c:pt idx="0">
                  <c:v>26,90%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base!$Y$142:$Y$220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C-E40B-40B0-8123-B8DD180FE8C7}"/>
            </c:ext>
          </c:extLst>
        </c:ser>
        <c:ser>
          <c:idx val="22"/>
          <c:order val="22"/>
          <c:tx>
            <c:strRef>
              <c:f>base!$Z$140:$Z$141</c:f>
              <c:strCache>
                <c:ptCount val="1"/>
                <c:pt idx="0">
                  <c:v>38,52%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base!$Z$142:$Z$220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D-E40B-40B0-8123-B8DD180FE8C7}"/>
            </c:ext>
          </c:extLst>
        </c:ser>
        <c:ser>
          <c:idx val="23"/>
          <c:order val="23"/>
          <c:tx>
            <c:strRef>
              <c:f>base!$AA$140:$AA$141</c:f>
              <c:strCache>
                <c:ptCount val="1"/>
                <c:pt idx="0">
                  <c:v>39,08%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base!$AA$142:$AA$220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1</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E-E40B-40B0-8123-B8DD180FE8C7}"/>
            </c:ext>
          </c:extLst>
        </c:ser>
        <c:ser>
          <c:idx val="24"/>
          <c:order val="24"/>
          <c:tx>
            <c:strRef>
              <c:f>base!$AB$140:$AB$141</c:f>
              <c:strCache>
                <c:ptCount val="1"/>
                <c:pt idx="0">
                  <c:v>39,63%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base!$AB$142:$AB$220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1</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F-E40B-40B0-8123-B8DD180FE8C7}"/>
            </c:ext>
          </c:extLst>
        </c:ser>
        <c:ser>
          <c:idx val="25"/>
          <c:order val="25"/>
          <c:tx>
            <c:strRef>
              <c:f>base!$AC$140:$AC$141</c:f>
              <c:strCache>
                <c:ptCount val="1"/>
                <c:pt idx="0">
                  <c:v>40,16%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base!$AC$142:$AC$220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0-E40B-40B0-8123-B8DD180FE8C7}"/>
            </c:ext>
          </c:extLst>
        </c:ser>
        <c:ser>
          <c:idx val="26"/>
          <c:order val="26"/>
          <c:tx>
            <c:strRef>
              <c:f>base!$AD$140:$AD$141</c:f>
              <c:strCache>
                <c:ptCount val="1"/>
                <c:pt idx="0">
                  <c:v>40,69%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base!$AD$142:$AD$220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1-E40B-40B0-8123-B8DD180FE8C7}"/>
            </c:ext>
          </c:extLst>
        </c:ser>
        <c:ser>
          <c:idx val="27"/>
          <c:order val="27"/>
          <c:tx>
            <c:strRef>
              <c:f>base!$AE$140:$AE$141</c:f>
              <c:strCache>
                <c:ptCount val="1"/>
                <c:pt idx="0">
                  <c:v>41,07%</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base!$AE$142:$AE$220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2-E40B-40B0-8123-B8DD180FE8C7}"/>
            </c:ext>
          </c:extLst>
        </c:ser>
        <c:ser>
          <c:idx val="28"/>
          <c:order val="28"/>
          <c:tx>
            <c:strRef>
              <c:f>base!$AF$140:$AF$141</c:f>
              <c:strCache>
                <c:ptCount val="1"/>
                <c:pt idx="0">
                  <c:v>41,21%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base!$AF$142:$AF$220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3-E40B-40B0-8123-B8DD180FE8C7}"/>
            </c:ext>
          </c:extLst>
        </c:ser>
        <c:ser>
          <c:idx val="29"/>
          <c:order val="29"/>
          <c:tx>
            <c:strRef>
              <c:f>base!$AG$140:$AG$141</c:f>
              <c:strCache>
                <c:ptCount val="1"/>
                <c:pt idx="0">
                  <c:v>41,86%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base!$AG$142:$AG$220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4-E40B-40B0-8123-B8DD180FE8C7}"/>
            </c:ext>
          </c:extLst>
        </c:ser>
        <c:ser>
          <c:idx val="30"/>
          <c:order val="30"/>
          <c:tx>
            <c:strRef>
              <c:f>base!$AH$140:$AH$141</c:f>
              <c:strCache>
                <c:ptCount val="1"/>
                <c:pt idx="0">
                  <c:v>42,63%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base!$AH$142:$AH$220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5-E40B-40B0-8123-B8DD180FE8C7}"/>
            </c:ext>
          </c:extLst>
        </c:ser>
        <c:ser>
          <c:idx val="31"/>
          <c:order val="31"/>
          <c:tx>
            <c:strRef>
              <c:f>base!$AI$140:$AI$141</c:f>
              <c:strCache>
                <c:ptCount val="1"/>
                <c:pt idx="0">
                  <c:v>43,38%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base!$AI$142:$AI$220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1</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6-E40B-40B0-8123-B8DD180FE8C7}"/>
            </c:ext>
          </c:extLst>
        </c:ser>
        <c:ser>
          <c:idx val="32"/>
          <c:order val="32"/>
          <c:tx>
            <c:strRef>
              <c:f>base!$AJ$140:$AJ$141</c:f>
              <c:strCache>
                <c:ptCount val="1"/>
                <c:pt idx="0">
                  <c:v>44,11%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base!$AJ$142:$AJ$220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7-E40B-40B0-8123-B8DD180FE8C7}"/>
            </c:ext>
          </c:extLst>
        </c:ser>
        <c:ser>
          <c:idx val="33"/>
          <c:order val="33"/>
          <c:tx>
            <c:strRef>
              <c:f>base!$AK$140:$AK$141</c:f>
              <c:strCache>
                <c:ptCount val="1"/>
                <c:pt idx="0">
                  <c:v>44,82%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base!$AK$142:$AK$220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8-E40B-40B0-8123-B8DD180FE8C7}"/>
            </c:ext>
          </c:extLst>
        </c:ser>
        <c:ser>
          <c:idx val="34"/>
          <c:order val="34"/>
          <c:tx>
            <c:strRef>
              <c:f>base!$AL$140:$AL$141</c:f>
              <c:strCache>
                <c:ptCount val="1"/>
                <c:pt idx="0">
                  <c:v>45,51%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base!$AL$142:$AL$220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9-E40B-40B0-8123-B8DD180FE8C7}"/>
            </c:ext>
          </c:extLst>
        </c:ser>
        <c:ser>
          <c:idx val="35"/>
          <c:order val="35"/>
          <c:tx>
            <c:strRef>
              <c:f>base!$AM$140:$AM$141</c:f>
              <c:strCache>
                <c:ptCount val="1"/>
                <c:pt idx="0">
                  <c:v>46,05%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base!$AM$142:$AM$220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1</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A-E40B-40B0-8123-B8DD180FE8C7}"/>
            </c:ext>
          </c:extLst>
        </c:ser>
        <c:ser>
          <c:idx val="36"/>
          <c:order val="36"/>
          <c:tx>
            <c:strRef>
              <c:f>base!$AN$140:$AN$141</c:f>
              <c:strCache>
                <c:ptCount val="1"/>
                <c:pt idx="0">
                  <c:v>46,19%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base!$AN$142:$AN$220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B-E40B-40B0-8123-B8DD180FE8C7}"/>
            </c:ext>
          </c:extLst>
        </c:ser>
        <c:ser>
          <c:idx val="37"/>
          <c:order val="37"/>
          <c:tx>
            <c:strRef>
              <c:f>base!$AO$140:$AO$141</c:f>
              <c:strCache>
                <c:ptCount val="1"/>
                <c:pt idx="0">
                  <c:v>46,85%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base!$AO$142:$AO$220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C-E40B-40B0-8123-B8DD180FE8C7}"/>
            </c:ext>
          </c:extLst>
        </c:ser>
        <c:ser>
          <c:idx val="38"/>
          <c:order val="38"/>
          <c:tx>
            <c:strRef>
              <c:f>base!$AP$140:$AP$141</c:f>
              <c:strCache>
                <c:ptCount val="1"/>
                <c:pt idx="0">
                  <c:v>47,49%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base!$AP$142:$AP$220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D-E40B-40B0-8123-B8DD180FE8C7}"/>
            </c:ext>
          </c:extLst>
        </c:ser>
        <c:ser>
          <c:idx val="39"/>
          <c:order val="39"/>
          <c:tx>
            <c:strRef>
              <c:f>base!$AQ$140:$AQ$141</c:f>
              <c:strCache>
                <c:ptCount val="1"/>
                <c:pt idx="0">
                  <c:v>48,12%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base!$AQ$142:$AQ$220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E-E40B-40B0-8123-B8DD180FE8C7}"/>
            </c:ext>
          </c:extLst>
        </c:ser>
        <c:ser>
          <c:idx val="40"/>
          <c:order val="40"/>
          <c:tx>
            <c:strRef>
              <c:f>base!$AR$140:$AR$141</c:f>
              <c:strCache>
                <c:ptCount val="1"/>
                <c:pt idx="0">
                  <c:v>48,74%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base!$AR$142:$AR$220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F-E40B-40B0-8123-B8DD180FE8C7}"/>
            </c:ext>
          </c:extLst>
        </c:ser>
        <c:ser>
          <c:idx val="41"/>
          <c:order val="41"/>
          <c:tx>
            <c:strRef>
              <c:f>base!$AS$140:$AS$141</c:f>
              <c:strCache>
                <c:ptCount val="1"/>
                <c:pt idx="0">
                  <c:v>56,35%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base!$AS$142:$AS$220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1</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0-E40B-40B0-8123-B8DD180FE8C7}"/>
            </c:ext>
          </c:extLst>
        </c:ser>
        <c:ser>
          <c:idx val="42"/>
          <c:order val="42"/>
          <c:tx>
            <c:strRef>
              <c:f>base!$AT$140:$AT$141</c:f>
              <c:strCache>
                <c:ptCount val="1"/>
                <c:pt idx="0">
                  <c:v>56,86%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base!$AT$142:$AT$220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1-E40B-40B0-8123-B8DD180FE8C7}"/>
            </c:ext>
          </c:extLst>
        </c:ser>
        <c:ser>
          <c:idx val="43"/>
          <c:order val="43"/>
          <c:tx>
            <c:strRef>
              <c:f>base!$AU$140:$AU$141</c:f>
              <c:strCache>
                <c:ptCount val="1"/>
                <c:pt idx="0">
                  <c:v>57,35%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base!$AU$142:$AU$220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1</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2-E40B-40B0-8123-B8DD180FE8C7}"/>
            </c:ext>
          </c:extLst>
        </c:ser>
        <c:ser>
          <c:idx val="44"/>
          <c:order val="44"/>
          <c:tx>
            <c:strRef>
              <c:f>base!$AV$140:$AV$141</c:f>
              <c:strCache>
                <c:ptCount val="1"/>
                <c:pt idx="0">
                  <c:v>57,83%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base!$AV$142:$AV$220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3-E40B-40B0-8123-B8DD180FE8C7}"/>
            </c:ext>
          </c:extLst>
        </c:ser>
        <c:ser>
          <c:idx val="45"/>
          <c:order val="45"/>
          <c:tx>
            <c:strRef>
              <c:f>base!$AW$140:$AW$141</c:f>
              <c:strCache>
                <c:ptCount val="1"/>
                <c:pt idx="0">
                  <c:v>58,31%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base!$AW$142:$AW$220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4-E40B-40B0-8123-B8DD180FE8C7}"/>
            </c:ext>
          </c:extLst>
        </c:ser>
        <c:ser>
          <c:idx val="46"/>
          <c:order val="46"/>
          <c:tx>
            <c:strRef>
              <c:f>base!$AX$140:$AX$141</c:f>
              <c:strCache>
                <c:ptCount val="1"/>
                <c:pt idx="0">
                  <c:v>72,03%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base!$AX$142:$AX$220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c:v>
                </c:pt>
                <c:pt idx="58">
                  <c:v>0</c:v>
                </c:pt>
                <c:pt idx="59">
                  <c:v>0</c:v>
                </c:pt>
                <c:pt idx="60">
                  <c:v>0</c:v>
                </c:pt>
                <c:pt idx="61">
                  <c:v>0</c:v>
                </c:pt>
              </c:numCache>
            </c:numRef>
          </c:val>
          <c:extLst>
            <c:ext xmlns:c16="http://schemas.microsoft.com/office/drawing/2014/chart" uri="{C3380CC4-5D6E-409C-BE32-E72D297353CC}">
              <c16:uniqueId val="{00000065-E40B-40B0-8123-B8DD180FE8C7}"/>
            </c:ext>
          </c:extLst>
        </c:ser>
        <c:ser>
          <c:idx val="47"/>
          <c:order val="47"/>
          <c:tx>
            <c:strRef>
              <c:f>base!$AY$140:$AY$141</c:f>
              <c:strCache>
                <c:ptCount val="1"/>
                <c:pt idx="0">
                  <c:v>72,33%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base!$AY$142:$AY$220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1</c:v>
                </c:pt>
                <c:pt idx="59">
                  <c:v>0</c:v>
                </c:pt>
                <c:pt idx="60">
                  <c:v>0</c:v>
                </c:pt>
                <c:pt idx="61">
                  <c:v>0</c:v>
                </c:pt>
              </c:numCache>
            </c:numRef>
          </c:val>
          <c:extLst>
            <c:ext xmlns:c16="http://schemas.microsoft.com/office/drawing/2014/chart" uri="{C3380CC4-5D6E-409C-BE32-E72D297353CC}">
              <c16:uniqueId val="{00000066-E40B-40B0-8123-B8DD180FE8C7}"/>
            </c:ext>
          </c:extLst>
        </c:ser>
        <c:ser>
          <c:idx val="48"/>
          <c:order val="48"/>
          <c:tx>
            <c:strRef>
              <c:f>base!$AZ$140:$AZ$141</c:f>
              <c:strCache>
                <c:ptCount val="1"/>
                <c:pt idx="0">
                  <c:v>72,63%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base!$AZ$142:$AZ$220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1</c:v>
                </c:pt>
                <c:pt idx="60">
                  <c:v>0</c:v>
                </c:pt>
                <c:pt idx="61">
                  <c:v>0</c:v>
                </c:pt>
              </c:numCache>
            </c:numRef>
          </c:val>
          <c:extLst>
            <c:ext xmlns:c16="http://schemas.microsoft.com/office/drawing/2014/chart" uri="{C3380CC4-5D6E-409C-BE32-E72D297353CC}">
              <c16:uniqueId val="{00000067-E40B-40B0-8123-B8DD180FE8C7}"/>
            </c:ext>
          </c:extLst>
        </c:ser>
        <c:ser>
          <c:idx val="49"/>
          <c:order val="49"/>
          <c:tx>
            <c:strRef>
              <c:f>base!$BA$140:$BA$141</c:f>
              <c:strCache>
                <c:ptCount val="1"/>
                <c:pt idx="0">
                  <c:v>72,92%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base!$BA$142:$BA$220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1</c:v>
                </c:pt>
                <c:pt idx="61">
                  <c:v>0</c:v>
                </c:pt>
              </c:numCache>
            </c:numRef>
          </c:val>
          <c:extLst>
            <c:ext xmlns:c16="http://schemas.microsoft.com/office/drawing/2014/chart" uri="{C3380CC4-5D6E-409C-BE32-E72D297353CC}">
              <c16:uniqueId val="{00000068-E40B-40B0-8123-B8DD180FE8C7}"/>
            </c:ext>
          </c:extLst>
        </c:ser>
        <c:ser>
          <c:idx val="50"/>
          <c:order val="50"/>
          <c:tx>
            <c:strRef>
              <c:f>base!$BB$140:$BB$141</c:f>
              <c:strCache>
                <c:ptCount val="1"/>
                <c:pt idx="0">
                  <c:v>73,21%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base!$BB$142:$BB$220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1</c:v>
                </c:pt>
              </c:numCache>
            </c:numRef>
          </c:val>
          <c:extLst>
            <c:ext xmlns:c16="http://schemas.microsoft.com/office/drawing/2014/chart" uri="{C3380CC4-5D6E-409C-BE32-E72D297353CC}">
              <c16:uniqueId val="{00000069-E40B-40B0-8123-B8DD180FE8C7}"/>
            </c:ext>
          </c:extLst>
        </c:ser>
        <c:ser>
          <c:idx val="51"/>
          <c:order val="51"/>
          <c:tx>
            <c:strRef>
              <c:f>base!$BC$140:$BC$141</c:f>
              <c:strCache>
                <c:ptCount val="1"/>
                <c:pt idx="0">
                  <c:v>99,42%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base!$BC$142:$BC$220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1</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A-E40B-40B0-8123-B8DD180FE8C7}"/>
            </c:ext>
          </c:extLst>
        </c:ser>
        <c:ser>
          <c:idx val="52"/>
          <c:order val="52"/>
          <c:tx>
            <c:strRef>
              <c:f>base!$BD$140:$BD$141</c:f>
              <c:strCache>
                <c:ptCount val="1"/>
                <c:pt idx="0">
                  <c:v>99,43%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base!$BD$142:$BD$220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B-E40B-40B0-8123-B8DD180FE8C7}"/>
            </c:ext>
          </c:extLst>
        </c:ser>
        <c:ser>
          <c:idx val="53"/>
          <c:order val="53"/>
          <c:tx>
            <c:strRef>
              <c:f>base!$BE$140:$BE$141</c:f>
              <c:strCache>
                <c:ptCount val="1"/>
                <c:pt idx="0">
                  <c:v>99,44%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base!$BE$142:$BE$220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C-E40B-40B0-8123-B8DD180FE8C7}"/>
            </c:ext>
          </c:extLst>
        </c:ser>
        <c:ser>
          <c:idx val="54"/>
          <c:order val="54"/>
          <c:tx>
            <c:strRef>
              <c:f>base!$BF$140:$BF$141</c:f>
              <c:strCache>
                <c:ptCount val="1"/>
                <c:pt idx="0">
                  <c:v>99,45%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base!$BF$142:$BF$220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D-E40B-40B0-8123-B8DD180FE8C7}"/>
            </c:ext>
          </c:extLst>
        </c:ser>
        <c:ser>
          <c:idx val="55"/>
          <c:order val="55"/>
          <c:tx>
            <c:strRef>
              <c:f>base!$BG$140:$BG$141</c:f>
              <c:strCache>
                <c:ptCount val="1"/>
                <c:pt idx="0">
                  <c:v>99,46%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base!$BG$142:$BG$220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1</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E-E40B-40B0-8123-B8DD180FE8C7}"/>
            </c:ext>
          </c:extLst>
        </c:ser>
        <c:ser>
          <c:idx val="56"/>
          <c:order val="56"/>
          <c:tx>
            <c:strRef>
              <c:f>base!$BH$140:$BH$141</c:f>
              <c:strCache>
                <c:ptCount val="1"/>
                <c:pt idx="0">
                  <c:v>99,47%</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base!$BH$142:$BH$220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1</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F-E40B-40B0-8123-B8DD180FE8C7}"/>
            </c:ext>
          </c:extLst>
        </c:ser>
        <c:ser>
          <c:idx val="57"/>
          <c:order val="57"/>
          <c:tx>
            <c:strRef>
              <c:f>base!$BI$140:$BI$141</c:f>
              <c:strCache>
                <c:ptCount val="1"/>
                <c:pt idx="0">
                  <c:v>99,48%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base!$BI$142:$BI$220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1</c:v>
                </c:pt>
                <c:pt idx="56">
                  <c:v>0</c:v>
                </c:pt>
                <c:pt idx="57">
                  <c:v>0</c:v>
                </c:pt>
                <c:pt idx="58">
                  <c:v>0</c:v>
                </c:pt>
                <c:pt idx="59">
                  <c:v>0</c:v>
                </c:pt>
                <c:pt idx="60">
                  <c:v>0</c:v>
                </c:pt>
                <c:pt idx="61">
                  <c:v>0</c:v>
                </c:pt>
              </c:numCache>
            </c:numRef>
          </c:val>
          <c:extLst>
            <c:ext xmlns:c16="http://schemas.microsoft.com/office/drawing/2014/chart" uri="{C3380CC4-5D6E-409C-BE32-E72D297353CC}">
              <c16:uniqueId val="{00000070-E40B-40B0-8123-B8DD180FE8C7}"/>
            </c:ext>
          </c:extLst>
        </c:ser>
        <c:ser>
          <c:idx val="58"/>
          <c:order val="58"/>
          <c:tx>
            <c:strRef>
              <c:f>base!$BJ$140:$BJ$141</c:f>
              <c:strCache>
                <c:ptCount val="1"/>
                <c:pt idx="0">
                  <c:v>99,49%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base!$BJ$142:$BJ$220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1</c:v>
                </c:pt>
                <c:pt idx="57">
                  <c:v>0</c:v>
                </c:pt>
                <c:pt idx="58">
                  <c:v>0</c:v>
                </c:pt>
                <c:pt idx="59">
                  <c:v>0</c:v>
                </c:pt>
                <c:pt idx="60">
                  <c:v>0</c:v>
                </c:pt>
                <c:pt idx="61">
                  <c:v>0</c:v>
                </c:pt>
              </c:numCache>
            </c:numRef>
          </c:val>
          <c:extLst>
            <c:ext xmlns:c16="http://schemas.microsoft.com/office/drawing/2014/chart" uri="{C3380CC4-5D6E-409C-BE32-E72D297353CC}">
              <c16:uniqueId val="{00000071-E40B-40B0-8123-B8DD180FE8C7}"/>
            </c:ext>
          </c:extLst>
        </c:ser>
        <c:ser>
          <c:idx val="59"/>
          <c:order val="59"/>
          <c:tx>
            <c:strRef>
              <c:f>base!$BK$140:$BK$141</c:f>
              <c:strCache>
                <c:ptCount val="1"/>
                <c:pt idx="0">
                  <c:v>99,49%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base!$BK$142:$BK$220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1</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72-E40B-40B0-8123-B8DD180FE8C7}"/>
            </c:ext>
          </c:extLst>
        </c:ser>
        <c:ser>
          <c:idx val="60"/>
          <c:order val="60"/>
          <c:tx>
            <c:strRef>
              <c:f>base!$BL$140:$BL$141</c:f>
              <c:strCache>
                <c:ptCount val="1"/>
                <c:pt idx="0">
                  <c:v>99,50%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base!$BL$142:$BL$220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73-E40B-40B0-8123-B8DD180FE8C7}"/>
            </c:ext>
          </c:extLst>
        </c:ser>
        <c:ser>
          <c:idx val="61"/>
          <c:order val="61"/>
          <c:tx>
            <c:strRef>
              <c:f>base!$BM$140:$BM$141</c:f>
              <c:strCache>
                <c:ptCount val="1"/>
                <c:pt idx="0">
                  <c:v>99,51%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base!$BM$142:$BM$220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1</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74-E40B-40B0-8123-B8DD180FE8C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304800</xdr:colOff>
      <xdr:row>72</xdr:row>
      <xdr:rowOff>41910</xdr:rowOff>
    </xdr:from>
    <xdr:to>
      <xdr:col>8</xdr:col>
      <xdr:colOff>419100</xdr:colOff>
      <xdr:row>111</xdr:row>
      <xdr:rowOff>53340</xdr:rowOff>
    </xdr:to>
    <xdr:graphicFrame macro="">
      <xdr:nvGraphicFramePr>
        <xdr:cNvPr id="2" name="Gráfico 1">
          <a:extLst>
            <a:ext uri="{FF2B5EF4-FFF2-40B4-BE49-F238E27FC236}">
              <a16:creationId xmlns:a16="http://schemas.microsoft.com/office/drawing/2014/main" id="{35BF9CCF-639F-13A7-6F18-107BF98ED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342900</xdr:colOff>
      <xdr:row>142</xdr:row>
      <xdr:rowOff>125730</xdr:rowOff>
    </xdr:from>
    <xdr:to>
      <xdr:col>15</xdr:col>
      <xdr:colOff>388620</xdr:colOff>
      <xdr:row>159</xdr:row>
      <xdr:rowOff>19050</xdr:rowOff>
    </xdr:to>
    <xdr:graphicFrame macro="">
      <xdr:nvGraphicFramePr>
        <xdr:cNvPr id="3" name="Gráfico 2">
          <a:extLst>
            <a:ext uri="{FF2B5EF4-FFF2-40B4-BE49-F238E27FC236}">
              <a16:creationId xmlns:a16="http://schemas.microsoft.com/office/drawing/2014/main" id="{A33021EE-7E13-598B-4FF4-DC0468D2C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Users\3391802\AppData\Local\Microsoft\Windows\Temporary%20Internet%20Files\Content.Outlook\XZ77DEDS\PCWFM%20Colpatria%20SAC%2000-00-201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cion"/>
      <sheetName val="Matriz de Escalamientos"/>
      <sheetName val="Check List"/>
      <sheetName val="Resumen"/>
      <sheetName val="Colpa_AmpliacionCupo"/>
      <sheetName val="Colpatria_Bloqueos"/>
      <sheetName val="Colpatria_Credito"/>
      <sheetName val="Colpatria_Redife_in"/>
      <sheetName val="Colpatria_Retencione"/>
      <sheetName val="Codensa_Captura_Dato"/>
      <sheetName val="Tarjeta Chip"/>
      <sheetName val="Med_Hos"/>
      <sheetName val="Skill7"/>
      <sheetName val="Skill8"/>
      <sheetName val="Skill9"/>
      <sheetName val="EnerPereira"/>
      <sheetName val="EnerTolima"/>
      <sheetName val="Hoja1"/>
      <sheetName val="OP&amp;A"/>
    </sheetNames>
    <sheetDataSet>
      <sheetData sheetId="0">
        <row r="4">
          <cell r="Y4" t="str">
            <v>Procedimiento de comunicación de posibles Incidencias Masivas entre OPS y DNF en horario nocturno</v>
          </cell>
        </row>
        <row r="5">
          <cell r="Y5" t="str">
            <v>Caída de aplicativos de forma masiva</v>
          </cell>
        </row>
        <row r="6">
          <cell r="Y6" t="str">
            <v>Inconvenientes de usuarios de Orange (de los aplicativos de asesores) y que no se pueda solucionar por GDI</v>
          </cell>
        </row>
        <row r="7">
          <cell r="Y7" t="str">
            <v>Incidencias en la prestación del servicio de Orange (generalizada, para más de 10 usuarios)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CRISTIAN JOSE VERGARA ALFONSO" id="{557F0CBA-A008-4094-888C-B9F1C10D89DA}" userId="S::cristian_vergara@cun.edu.co::d3d6898b-c913-4e89-9b52-78e7c92b998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JOSE VERGARA ALFONSO" refreshedDate="45987.474183564816" createdVersion="8" refreshedVersion="8" minRefreshableVersion="3" recordCount="60" xr:uid="{883B0D5E-A438-4D6A-A492-6969607E9126}">
  <cacheSource type="worksheet">
    <worksheetSource ref="A1:K61" sheet="base"/>
  </cacheSource>
  <cacheFields count="11">
    <cacheField name="Date" numFmtId="167">
      <sharedItems containsSemiMixedTypes="0" containsNonDate="0" containsDate="1" containsString="0" minDate="2011-01-23T00:00:00" maxDate="2011-03-26T00:00:00"/>
    </cacheField>
    <cacheField name="Acm" numFmtId="0">
      <sharedItems/>
    </cacheField>
    <cacheField name="Supervisor" numFmtId="0">
      <sharedItems/>
    </cacheField>
    <cacheField name="Avaya" numFmtId="0">
      <sharedItems/>
    </cacheField>
    <cacheField name="LOB" numFmtId="0">
      <sharedItems/>
    </cacheField>
    <cacheField name="Agent Name" numFmtId="0">
      <sharedItems/>
    </cacheField>
    <cacheField name="Asistencia" numFmtId="0">
      <sharedItems containsSemiMixedTypes="0" containsString="0" containsNumber="1" containsInteger="1" minValue="0" maxValue="1"/>
    </cacheField>
    <cacheField name="Horas programadas" numFmtId="169">
      <sharedItems containsSemiMixedTypes="0" containsNonDate="0" containsDate="1" containsString="0" minDate="1900-01-01T06:30:00" maxDate="1900-01-03T19:30:00"/>
    </cacheField>
    <cacheField name="Conexión en adherencia" numFmtId="169">
      <sharedItems containsSemiMixedTypes="0" containsNonDate="0" containsDate="1" containsString="0" minDate="1899-12-30T08:11:00" maxDate="1900-01-01T21:11:00"/>
    </cacheField>
    <cacheField name="% In Adherence" numFmtId="10">
      <sharedItems containsSemiMixedTypes="0" containsString="0" containsNumber="1" minValue="0.96274509803921626" maxValue="0.96274509803921626"/>
    </cacheField>
    <cacheField name="Resultado Adherencia" numFmtId="10">
      <sharedItems containsSemiMixedTypes="0" containsString="0" containsNumber="1" minValue="0.12493638676844823" maxValue="0.99509043927648755" count="60">
        <n v="0.99509043927648755"/>
        <n v="0.99501312335958181"/>
        <n v="0.99493333333333511"/>
        <n v="0.99485094850948685"/>
        <n v="0.9947658402203875"/>
        <n v="0.99467787114846118"/>
        <n v="0.99458689458689642"/>
        <n v="0.99449275362319034"/>
        <n v="0.99439528023599011"/>
        <n v="0.99429429429429628"/>
        <n v="0.99418960244648524"/>
        <n v="0.73209876543209906"/>
        <n v="0.72923351158645289"/>
        <n v="0.72630630630630877"/>
        <n v="0.72331511839708595"/>
        <n v="0.72025782688766116"/>
        <n v="0.58305400372439709"/>
        <n v="0.57834274952919051"/>
        <n v="0.57352380952380944"/>
        <n v="0.56859344894027208"/>
        <n v="0.56354775828460069"/>
        <n v="0.48737672583826414"/>
        <n v="0.48123752495010202"/>
        <n v="0.47494949494949529"/>
        <n v="0.46850715746421251"/>
        <n v="0.46190476190476415"/>
        <n v="0.45513626834381588"/>
        <n v="0.44819532908704862"/>
        <n v="0.4410752688172066"/>
        <n v="0.43376906318082825"/>
        <n v="0.42626931567328896"/>
        <n v="0.41856823266219473"/>
        <n v="0.41065759637188248"/>
        <n v="0.2094252873563221"/>
        <n v="0.19836829836829875"/>
        <n v="0.18699763593380631"/>
        <n v="0.17529976019184676"/>
        <n v="0.16326034063260372"/>
        <n v="0.15086419753086436"/>
        <n v="0.1380952380952383"/>
        <n v="0.12493638676844823"/>
        <n v="0.26897081413210416"/>
        <n v="0.26217054263566031"/>
        <n v="0.25524256651017241"/>
        <n v="0.24818325434439145"/>
        <n v="0.24098883572567922"/>
        <n v="0.23365539452496001"/>
        <n v="0.22617886178861799"/>
        <n v="0.21855500821018109"/>
        <n v="0.2107794361525705"/>
        <n v="0.20284757118927982"/>
        <n v="0.19475465313028809"/>
        <n v="0.18649572649572652"/>
        <n v="0.17806563039723669"/>
        <n v="0.16945898778359553"/>
        <n v="0.46046176046176002"/>
        <n v="0.41208151382823849"/>
        <n v="0.40690161527166085"/>
        <n v="0.40162962962962989"/>
        <n v="0.39626307922272025"/>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JOSE VERGARA ALFONSO" refreshedDate="45987.478310763887" createdVersion="8" refreshedVersion="8" minRefreshableVersion="3" recordCount="62" xr:uid="{9BE527F1-B761-407E-9CA5-ADC6D700EB52}">
  <cacheSource type="worksheet">
    <worksheetSource ref="A1:K63" sheet="base"/>
  </cacheSource>
  <cacheFields count="11">
    <cacheField name="Date" numFmtId="167">
      <sharedItems containsSemiMixedTypes="0" containsNonDate="0" containsDate="1" containsString="0" minDate="2011-01-23T00:00:00" maxDate="2011-03-26T00:00:00"/>
    </cacheField>
    <cacheField name="Acm" numFmtId="0">
      <sharedItems count="4">
        <s v="Dulce Pedraza"/>
        <s v="Gladys Lazaro"/>
        <s v="Gloria Hernandez"/>
        <s v="Jorge Bustos"/>
      </sharedItems>
    </cacheField>
    <cacheField name="Supervisor" numFmtId="0">
      <sharedItems count="8">
        <s v="Eder Garza"/>
        <s v="Edgar Padilla"/>
        <s v="Cesar Reyes"/>
        <s v="Carlos Avila"/>
        <s v="Angel Puente"/>
        <s v="Benjamin De Leon"/>
        <s v="Daniel Jimenez"/>
        <s v="Cesar Hernandez"/>
      </sharedItems>
    </cacheField>
    <cacheField name="Avaya" numFmtId="0">
      <sharedItems/>
    </cacheField>
    <cacheField name="LOB" numFmtId="0">
      <sharedItems/>
    </cacheField>
    <cacheField name="Agent Name" numFmtId="0">
      <sharedItems count="62">
        <s v="Martinez, Daniela"/>
        <s v="Lozano, Roberto"/>
        <s v="Lopez, Andrea"/>
        <s v="Rios, Alejandra"/>
        <s v="Nuñez, Carolina"/>
        <s v="Monsivais, Claudette"/>
        <s v="Martinez, Roberto"/>
        <s v="Gonzalez, Juan"/>
        <s v="Gonzalez, Angel"/>
        <s v="Garcia, Arif"/>
        <s v="De La Garza, Pablo"/>
        <s v="Mendizabal, Denise"/>
        <s v="Gloria, Daniel"/>
        <s v="Gaytan, Oscar"/>
        <s v="De Leon, Jose"/>
        <s v="Balbuena, Antonio"/>
        <s v="Villatoro, Daniel"/>
        <s v="Villarreal, Jorge"/>
        <s v="Ortiz, Jeanette"/>
        <s v="Hernandez, Luis"/>
        <s v="Hernandez, Carmen"/>
        <s v="Vazquez, Jose"/>
        <s v="Sauceda, Fernando"/>
        <s v="Rosales, Hilda"/>
        <s v="Ortiz, Diego"/>
        <s v="Oros, Martin"/>
        <s v="Hernandez, Diego"/>
        <s v="Gonzalez, Alejandra"/>
        <s v="Davila, Diego"/>
        <s v="Cruz, Juan"/>
        <s v="Contreras, Mara"/>
        <s v="Carrillo, Saul"/>
        <s v="Aguilera, Carlos"/>
        <s v="Zarur, Laura"/>
        <s v="Zapata, Alma"/>
        <s v="Velazquez, Daniela"/>
        <s v="Treviño, Alejandra"/>
        <s v="Sanchez, Jaime"/>
        <s v="Perez, Abraham"/>
        <s v="Omaña, Maria"/>
        <s v="Chavez, Pedro"/>
        <s v="Villa, Jorge"/>
        <s v="Ramos, David"/>
        <s v="Padilla, Adrian"/>
        <s v="Fernandez, Marcelo"/>
        <s v="Drew, Benjamin"/>
        <s v="De La Garza, Arturo"/>
        <s v="Cerda, Alejandra"/>
        <s v="Ortega, Cynthia"/>
        <s v="Moreno, Dalila"/>
        <s v="Luna, Roberto"/>
        <s v="Herrera, Abril"/>
        <s v="Gomez, Andrea"/>
        <s v="Garcia, Jessica"/>
        <s v="Flores, Laura"/>
        <s v="Martinez, Elias"/>
        <s v="Escamilla, Hector"/>
        <s v="Delgado, Katia"/>
        <s v="Villaseñor, Carlos"/>
        <s v="Sanchez, Ana"/>
        <s v="Salmon, Antonio"/>
        <s v="Rangel, Santiago"/>
      </sharedItems>
    </cacheField>
    <cacheField name="Asistencia" numFmtId="0">
      <sharedItems containsSemiMixedTypes="0" containsString="0" containsNumber="1" containsInteger="1" minValue="0" maxValue="1"/>
    </cacheField>
    <cacheField name="Horas programadas" numFmtId="169">
      <sharedItems containsSemiMixedTypes="0" containsNonDate="0" containsDate="1" containsString="0" minDate="1900-01-01T06:30:00" maxDate="1900-01-03T19:30:00"/>
    </cacheField>
    <cacheField name="Conexión en adherencia" numFmtId="169">
      <sharedItems containsSemiMixedTypes="0" containsNonDate="0" containsDate="1" containsString="0" minDate="1899-12-30T08:11:00" maxDate="1900-01-01T21:11:00"/>
    </cacheField>
    <cacheField name="% In Adherence" numFmtId="10">
      <sharedItems containsSemiMixedTypes="0" containsString="0" containsNumber="1" minValue="0.96274509803921626" maxValue="0.96274509803921626"/>
    </cacheField>
    <cacheField name="Resultado Adherencia" numFmtId="10">
      <sharedItems containsSemiMixedTypes="0" containsString="0" containsNumber="1" minValue="0.12493638676844823" maxValue="0.99509043927648755" count="62">
        <n v="0.99509043927648755"/>
        <n v="0.99501312335958181"/>
        <n v="0.99493333333333511"/>
        <n v="0.99485094850948685"/>
        <n v="0.9947658402203875"/>
        <n v="0.99467787114846118"/>
        <n v="0.99458689458689642"/>
        <n v="0.99449275362319034"/>
        <n v="0.99439528023599011"/>
        <n v="0.99429429429429628"/>
        <n v="0.99418960244648524"/>
        <n v="0.73209876543209906"/>
        <n v="0.72923351158645289"/>
        <n v="0.72630630630630877"/>
        <n v="0.72331511839708595"/>
        <n v="0.72025782688766116"/>
        <n v="0.58305400372439709"/>
        <n v="0.57834274952919051"/>
        <n v="0.57352380952380944"/>
        <n v="0.56859344894027208"/>
        <n v="0.56354775828460069"/>
        <n v="0.48737672583826414"/>
        <n v="0.48123752495010202"/>
        <n v="0.47494949494949529"/>
        <n v="0.46850715746421251"/>
        <n v="0.46190476190476415"/>
        <n v="0.45513626834381588"/>
        <n v="0.44819532908704862"/>
        <n v="0.4410752688172066"/>
        <n v="0.43376906318082825"/>
        <n v="0.42626931567328896"/>
        <n v="0.41856823266219473"/>
        <n v="0.41065759637188248"/>
        <n v="0.2094252873563221"/>
        <n v="0.19836829836829875"/>
        <n v="0.18699763593380631"/>
        <n v="0.17529976019184676"/>
        <n v="0.16326034063260372"/>
        <n v="0.15086419753086436"/>
        <n v="0.1380952380952383"/>
        <n v="0.12493638676844823"/>
        <n v="0.26897081413210416"/>
        <n v="0.26217054263566031"/>
        <n v="0.25524256651017241"/>
        <n v="0.24818325434439145"/>
        <n v="0.24098883572567922"/>
        <n v="0.23365539452496001"/>
        <n v="0.22617886178861799"/>
        <n v="0.21855500821018109"/>
        <n v="0.2107794361525705"/>
        <n v="0.20284757118927982"/>
        <n v="0.19475465313028809"/>
        <n v="0.18649572649572652"/>
        <n v="0.17806563039723669"/>
        <n v="0.16945898778359553"/>
        <n v="0.46046176046176002"/>
        <n v="0.41208151382823849"/>
        <n v="0.40690161527166085"/>
        <n v="0.40162962962962989"/>
        <n v="0.39626307922272025"/>
        <n v="0.39079939668175118"/>
        <n v="0.3852359208523594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d v="2011-03-20T00:00:00"/>
    <s v="Dulce Pedraza"/>
    <s v="Eder Garza"/>
    <s v="77476"/>
    <s v="TLGM"/>
    <s v="Martinez, Daniela"/>
    <n v="1"/>
    <d v="1900-01-01T16:30:00"/>
    <d v="1900-01-01T16:11:00"/>
    <n v="0.96274509803921626"/>
    <x v="0"/>
  </r>
  <r>
    <d v="2011-03-19T00:00:00"/>
    <s v="Dulce Pedraza"/>
    <s v="Eder Garza"/>
    <s v="79476"/>
    <s v="TLGM"/>
    <s v="Lozano, Roberto"/>
    <n v="1"/>
    <d v="1900-01-01T15:30:00"/>
    <d v="1900-01-01T15:11:00"/>
    <n v="0.96274509803921626"/>
    <x v="1"/>
  </r>
  <r>
    <d v="2011-03-18T00:00:00"/>
    <s v="Dulce Pedraza"/>
    <s v="Eder Garza"/>
    <s v="79634"/>
    <s v="TLGM"/>
    <s v="Lopez, Andrea"/>
    <n v="1"/>
    <d v="1900-01-01T14:30:00"/>
    <d v="1900-01-01T14:11:00"/>
    <n v="0.96274509803921626"/>
    <x v="2"/>
  </r>
  <r>
    <d v="2011-03-17T00:00:00"/>
    <s v="Dulce Pedraza"/>
    <s v="Eder Garza"/>
    <s v="79390"/>
    <s v="TLGWM"/>
    <s v="Rios, Alejandra"/>
    <n v="1"/>
    <d v="1900-01-01T13:30:00"/>
    <d v="1900-01-01T13:11:00"/>
    <n v="0.96274509803921626"/>
    <x v="3"/>
  </r>
  <r>
    <d v="2011-03-16T00:00:00"/>
    <s v="Dulce Pedraza"/>
    <s v="Eder Garza"/>
    <s v="77834743"/>
    <s v="TLGWM"/>
    <s v="Nuñez, Carolina"/>
    <n v="1"/>
    <d v="1900-01-01T12:30:00"/>
    <d v="1900-01-01T12:11:00"/>
    <n v="0.96274509803921626"/>
    <x v="4"/>
  </r>
  <r>
    <d v="2011-03-15T00:00:00"/>
    <s v="Dulce Pedraza"/>
    <s v="Eder Garza"/>
    <s v="77834565"/>
    <s v="TLGM"/>
    <s v="Monsivais, Claudette"/>
    <n v="1"/>
    <d v="1900-01-01T11:30:00"/>
    <d v="1900-01-01T11:11:00"/>
    <n v="0.96274509803921626"/>
    <x v="5"/>
  </r>
  <r>
    <d v="2011-03-14T00:00:00"/>
    <s v="Dulce Pedraza"/>
    <s v="Eder Garza"/>
    <s v="75147"/>
    <s v="TLGWM"/>
    <s v="Martinez, Roberto"/>
    <n v="1"/>
    <d v="1900-01-01T10:30:00"/>
    <d v="1900-01-01T10:11:00"/>
    <n v="0.96274509803921626"/>
    <x v="6"/>
  </r>
  <r>
    <d v="2011-03-13T00:00:00"/>
    <s v="Dulce Pedraza"/>
    <s v="Eder Garza"/>
    <s v="77834046"/>
    <s v="TLGWM"/>
    <s v="Gonzalez, Juan"/>
    <n v="1"/>
    <d v="1900-01-01T09:30:00"/>
    <d v="1900-01-01T09:11:00"/>
    <n v="0.96274509803921626"/>
    <x v="7"/>
  </r>
  <r>
    <d v="2011-03-12T00:00:00"/>
    <s v="Dulce Pedraza"/>
    <s v="Eder Garza"/>
    <s v="77077834"/>
    <s v="TLGM"/>
    <s v="Gonzalez, Angel"/>
    <n v="1"/>
    <d v="1900-01-01T08:30:00"/>
    <d v="1900-01-01T08:11:00"/>
    <n v="0.96274509803921626"/>
    <x v="8"/>
  </r>
  <r>
    <d v="2011-03-11T00:00:00"/>
    <s v="Dulce Pedraza"/>
    <s v="Eder Garza"/>
    <s v="79437"/>
    <s v="TLGWM"/>
    <s v="Garcia, Arif"/>
    <n v="1"/>
    <d v="1900-01-01T07:30:00"/>
    <d v="1900-01-01T07:11:00"/>
    <n v="0.96274509803921626"/>
    <x v="9"/>
  </r>
  <r>
    <d v="2011-03-10T00:00:00"/>
    <s v="Dulce Pedraza"/>
    <s v="Eder Garza"/>
    <s v="76678342"/>
    <s v="TLGWM"/>
    <s v="De La Garza, Pablo"/>
    <n v="1"/>
    <d v="1900-01-01T06:30:00"/>
    <d v="1900-01-01T06:11:00"/>
    <n v="0.96274509803921626"/>
    <x v="10"/>
  </r>
  <r>
    <d v="2011-03-25T00:00:00"/>
    <s v="Gladys Lazaro"/>
    <s v="Edgar Padilla"/>
    <s v="79327834"/>
    <s v="TLGM"/>
    <s v="Mendizabal, Denise"/>
    <n v="1"/>
    <d v="1900-01-02T22:30:00"/>
    <d v="1900-01-01T21:11:00"/>
    <n v="0.96274509803921626"/>
    <x v="11"/>
  </r>
  <r>
    <d v="2011-03-24T00:00:00"/>
    <s v="Gladys Lazaro"/>
    <s v="Edgar Padilla"/>
    <s v="79630"/>
    <s v="TLGM"/>
    <s v="Gloria, Daniel"/>
    <n v="0"/>
    <d v="1900-01-02T21:30:00"/>
    <d v="1900-01-01T20:11:00"/>
    <n v="0.96274509803921626"/>
    <x v="12"/>
  </r>
  <r>
    <d v="2011-03-23T00:00:00"/>
    <s v="Gladys Lazaro"/>
    <s v="Edgar Padilla"/>
    <s v="77834783499"/>
    <s v="TLGWM"/>
    <s v="Gaytan, Oscar"/>
    <n v="1"/>
    <d v="1900-01-02T20:30:00"/>
    <d v="1900-01-01T19:11:00"/>
    <n v="0.96274509803921626"/>
    <x v="13"/>
  </r>
  <r>
    <d v="2011-03-22T00:00:00"/>
    <s v="Gladys Lazaro"/>
    <s v="Edgar Padilla"/>
    <s v="79436"/>
    <s v="TLGWM"/>
    <s v="De Leon, Jose"/>
    <n v="1"/>
    <d v="1900-01-02T19:30:00"/>
    <d v="1900-01-01T18:11:00"/>
    <n v="0.96274509803921626"/>
    <x v="14"/>
  </r>
  <r>
    <d v="2011-03-21T00:00:00"/>
    <s v="Gladys Lazaro"/>
    <s v="Edgar Padilla"/>
    <s v="76640"/>
    <s v="TLGWM"/>
    <s v="Balbuena, Antonio"/>
    <n v="0"/>
    <d v="1900-01-02T18:30:00"/>
    <d v="1900-01-01T17:11:00"/>
    <n v="0.96274509803921626"/>
    <x v="15"/>
  </r>
  <r>
    <d v="2011-03-08T00:00:00"/>
    <s v="Gladys Lazaro"/>
    <s v="Cesar Reyes"/>
    <s v="79074"/>
    <s v="TLGWM"/>
    <s v="Villatoro, Daniel"/>
    <n v="0"/>
    <d v="1900-01-02T17:30:00"/>
    <d v="1900-01-01T04:11:00"/>
    <n v="0.96274509803921626"/>
    <x v="16"/>
  </r>
  <r>
    <d v="2011-03-07T00:00:00"/>
    <s v="Gladys Lazaro"/>
    <s v="Cesar Reyes"/>
    <s v="79536"/>
    <s v="TLGM"/>
    <s v="Villarreal, Jorge"/>
    <n v="1"/>
    <d v="1900-01-02T16:30:00"/>
    <d v="1900-01-01T03:11:00"/>
    <n v="0.96274509803921626"/>
    <x v="17"/>
  </r>
  <r>
    <d v="2011-03-06T00:00:00"/>
    <s v="Gladys Lazaro"/>
    <s v="Cesar Reyes"/>
    <s v="79252"/>
    <s v="TLGWM"/>
    <s v="Ortiz, Jeanette"/>
    <n v="1"/>
    <d v="1900-01-02T15:30:00"/>
    <d v="1900-01-01T02:11:00"/>
    <n v="0.96274509803921626"/>
    <x v="18"/>
  </r>
  <r>
    <d v="2011-03-05T00:00:00"/>
    <s v="Gladys Lazaro"/>
    <s v="Cesar Reyes"/>
    <s v="77834783491"/>
    <s v="TLGWM"/>
    <s v="Hernandez, Luis"/>
    <n v="1"/>
    <d v="1900-01-02T14:30:00"/>
    <d v="1900-01-01T01:11:00"/>
    <n v="0.96274509803921626"/>
    <x v="19"/>
  </r>
  <r>
    <d v="2011-03-04T00:00:00"/>
    <s v="Gladys Lazaro"/>
    <s v="Cesar Reyes"/>
    <s v="75571"/>
    <s v="TLGWM"/>
    <s v="Hernandez, Carmen"/>
    <n v="0"/>
    <d v="1900-01-02T13:30:00"/>
    <d v="1900-01-01T00:11:00"/>
    <n v="0.96274509803921626"/>
    <x v="20"/>
  </r>
  <r>
    <d v="2011-02-25T00:00:00"/>
    <s v="Gladys Lazaro"/>
    <s v="Carlos Avila"/>
    <s v="79444"/>
    <s v="TLGWM"/>
    <s v="Vazquez, Jose"/>
    <n v="1"/>
    <d v="1900-01-02T12:30:00"/>
    <d v="1899-12-31T17:11:00"/>
    <n v="0.96274509803921626"/>
    <x v="21"/>
  </r>
  <r>
    <d v="2011-02-24T00:00:00"/>
    <s v="Gladys Lazaro"/>
    <s v="Carlos Avila"/>
    <s v="79070"/>
    <s v="TLGWM"/>
    <s v="Sauceda, Fernando"/>
    <n v="0"/>
    <d v="1900-01-02T11:30:00"/>
    <d v="1899-12-31T16:11:00"/>
    <n v="0.96274509803921626"/>
    <x v="22"/>
  </r>
  <r>
    <d v="2011-02-23T00:00:00"/>
    <s v="Gladys Lazaro"/>
    <s v="Carlos Avila"/>
    <s v="79614"/>
    <s v="TLGWM"/>
    <s v="Rosales, Hilda"/>
    <n v="1"/>
    <d v="1900-01-02T10:30:00"/>
    <d v="1899-12-31T15:11:00"/>
    <n v="0.96274509803921626"/>
    <x v="23"/>
  </r>
  <r>
    <d v="2011-02-22T00:00:00"/>
    <s v="Gladys Lazaro"/>
    <s v="Carlos Avila"/>
    <s v="77834747"/>
    <s v="TLGWM"/>
    <s v="Ortiz, Diego"/>
    <n v="1"/>
    <d v="1900-01-02T09:30:00"/>
    <d v="1899-12-31T14:11:00"/>
    <n v="0.96274509803921626"/>
    <x v="24"/>
  </r>
  <r>
    <d v="2011-02-21T00:00:00"/>
    <s v="Gladys Lazaro"/>
    <s v="Carlos Avila"/>
    <s v="79442"/>
    <s v="TLGWM"/>
    <s v="Oros, Martin"/>
    <n v="0"/>
    <d v="1900-01-02T08:30:00"/>
    <d v="1899-12-31T13:11:00"/>
    <n v="0.96274509803921626"/>
    <x v="25"/>
  </r>
  <r>
    <d v="2011-02-20T00:00:00"/>
    <s v="Gladys Lazaro"/>
    <s v="Carlos Avila"/>
    <s v="79633"/>
    <s v="TLGM"/>
    <s v="Hernandez, Diego"/>
    <n v="1"/>
    <d v="1900-01-02T07:30:00"/>
    <d v="1899-12-31T12:11:00"/>
    <n v="0.96274509803921626"/>
    <x v="26"/>
  </r>
  <r>
    <d v="2011-02-19T00:00:00"/>
    <s v="Gladys Lazaro"/>
    <s v="Carlos Avila"/>
    <s v="79783430"/>
    <s v="TLGWM"/>
    <s v="Gonzalez, Alejandra"/>
    <n v="1"/>
    <d v="1900-01-02T06:30:00"/>
    <d v="1899-12-31T11:11:00"/>
    <n v="0.96274509803921626"/>
    <x v="27"/>
  </r>
  <r>
    <d v="2011-02-18T00:00:00"/>
    <s v="Gladys Lazaro"/>
    <s v="Carlos Avila"/>
    <s v="77834377"/>
    <s v="TLGM"/>
    <s v="Davila, Diego"/>
    <n v="1"/>
    <d v="1900-01-02T05:30:00"/>
    <d v="1899-12-31T10:11:00"/>
    <n v="0.96274509803921626"/>
    <x v="28"/>
  </r>
  <r>
    <d v="2011-02-17T00:00:00"/>
    <s v="Gladys Lazaro"/>
    <s v="Carlos Avila"/>
    <s v="77834377"/>
    <s v="TLGM"/>
    <s v="Cruz, Juan"/>
    <n v="1"/>
    <d v="1900-01-02T04:30:00"/>
    <d v="1899-12-31T09:11:00"/>
    <n v="0.96274509803921626"/>
    <x v="29"/>
  </r>
  <r>
    <d v="2011-02-16T00:00:00"/>
    <s v="Gladys Lazaro"/>
    <s v="Carlos Avila"/>
    <s v="75901"/>
    <s v="TLGWM"/>
    <s v="Contreras, Mara"/>
    <n v="1"/>
    <d v="1900-01-02T03:30:00"/>
    <d v="1899-12-31T08:11:00"/>
    <n v="0.96274509803921626"/>
    <x v="30"/>
  </r>
  <r>
    <d v="2011-02-15T00:00:00"/>
    <s v="Gladys Lazaro"/>
    <s v="Carlos Avila"/>
    <s v="77834045"/>
    <s v="TLGWM"/>
    <s v="Carrillo, Saul"/>
    <n v="1"/>
    <d v="1900-01-02T02:30:00"/>
    <d v="1899-12-31T07:11:00"/>
    <n v="0.96274509803921626"/>
    <x v="31"/>
  </r>
  <r>
    <d v="2011-02-14T00:00:00"/>
    <s v="Gladys Lazaro"/>
    <s v="Carlos Avila"/>
    <s v="79197"/>
    <s v="TLGM"/>
    <s v="Aguilera, Carlos"/>
    <n v="1"/>
    <d v="1900-01-02T01:30:00"/>
    <d v="1899-12-31T06:11:00"/>
    <n v="0.96274509803921626"/>
    <x v="32"/>
  </r>
  <r>
    <d v="2011-01-30T00:00:00"/>
    <s v="Gladys Lazaro"/>
    <s v="Angel Puente"/>
    <s v="77834601"/>
    <s v="TLGM"/>
    <s v="Zarur, Laura"/>
    <n v="1"/>
    <d v="1900-01-02T00:30:00"/>
    <d v="1899-12-30T15:11:00"/>
    <n v="0.96274509803921626"/>
    <x v="33"/>
  </r>
  <r>
    <d v="2011-01-29T00:00:00"/>
    <s v="Gladys Lazaro"/>
    <s v="Angel Puente"/>
    <s v="79762"/>
    <s v="TLGWM"/>
    <s v="Zapata, Alma"/>
    <n v="1"/>
    <d v="1900-01-01T23:30:00"/>
    <d v="1899-12-30T14:11:00"/>
    <n v="0.96274509803921626"/>
    <x v="34"/>
  </r>
  <r>
    <d v="2011-01-28T00:00:00"/>
    <s v="Gladys Lazaro"/>
    <s v="Angel Puente"/>
    <s v="79203"/>
    <s v="TLGWM"/>
    <s v="Velazquez, Daniela"/>
    <n v="1"/>
    <d v="1900-01-01T22:30:00"/>
    <d v="1899-12-30T13:11:00"/>
    <n v="0.96274509803921626"/>
    <x v="35"/>
  </r>
  <r>
    <d v="2011-01-27T00:00:00"/>
    <s v="Gladys Lazaro"/>
    <s v="Angel Puente"/>
    <s v="79243"/>
    <s v="TLGM"/>
    <s v="Treviño, Alejandra"/>
    <n v="1"/>
    <d v="1900-01-01T21:30:00"/>
    <d v="1899-12-30T12:11:00"/>
    <n v="0.96274509803921626"/>
    <x v="36"/>
  </r>
  <r>
    <d v="2011-01-26T00:00:00"/>
    <s v="Gladys Lazaro"/>
    <s v="Angel Puente"/>
    <s v="79067834"/>
    <s v="TLGWM"/>
    <s v="Sanchez, Jaime"/>
    <n v="1"/>
    <d v="1900-01-01T20:30:00"/>
    <d v="1899-12-30T11:11:00"/>
    <n v="0.96274509803921626"/>
    <x v="37"/>
  </r>
  <r>
    <d v="2011-01-25T00:00:00"/>
    <s v="Gladys Lazaro"/>
    <s v="Angel Puente"/>
    <s v="77834516"/>
    <s v="TLGWM"/>
    <s v="Perez, Abraham"/>
    <n v="1"/>
    <d v="1900-01-01T19:30:00"/>
    <d v="1899-12-30T10:11:00"/>
    <n v="0.96274509803921626"/>
    <x v="38"/>
  </r>
  <r>
    <d v="2011-01-24T00:00:00"/>
    <s v="Gladys Lazaro"/>
    <s v="Angel Puente"/>
    <s v="77834156"/>
    <s v="TLGM"/>
    <s v="Omaña, Maria"/>
    <n v="1"/>
    <d v="1900-01-01T18:30:00"/>
    <d v="1899-12-30T09:11:00"/>
    <n v="0.96274509803921626"/>
    <x v="39"/>
  </r>
  <r>
    <d v="2011-01-23T00:00:00"/>
    <s v="Gladys Lazaro"/>
    <s v="Angel Puente"/>
    <s v="77834746"/>
    <s v="TLGWM"/>
    <s v="Chavez, Pedro"/>
    <n v="1"/>
    <d v="1900-01-01T17:30:00"/>
    <d v="1899-12-30T08:11:00"/>
    <n v="0.96274509803921626"/>
    <x v="40"/>
  </r>
  <r>
    <d v="2011-02-13T00:00:00"/>
    <s v="Gloria Hernandez"/>
    <s v="Benjamin De Leon"/>
    <s v="79375"/>
    <s v="TLGM"/>
    <s v="Villa, Jorge"/>
    <n v="1"/>
    <d v="1900-01-03T12:30:00"/>
    <d v="1899-12-31T05:11:00"/>
    <n v="0.96274509803921626"/>
    <x v="41"/>
  </r>
  <r>
    <d v="2011-02-12T00:00:00"/>
    <s v="Gloria Hernandez"/>
    <s v="Benjamin De Leon"/>
    <s v="79677"/>
    <s v="TLGM"/>
    <s v="Ramos, David"/>
    <n v="1"/>
    <d v="1900-01-03T11:30:00"/>
    <d v="1899-12-31T04:11:00"/>
    <n v="0.96274509803921626"/>
    <x v="42"/>
  </r>
  <r>
    <d v="2011-02-11T00:00:00"/>
    <s v="Gloria Hernandez"/>
    <s v="Benjamin De Leon"/>
    <s v="79064"/>
    <s v="TLGWM"/>
    <s v="Padilla, Adrian"/>
    <n v="1"/>
    <d v="1900-01-03T10:30:00"/>
    <d v="1899-12-31T03:11:00"/>
    <n v="0.96274509803921626"/>
    <x v="43"/>
  </r>
  <r>
    <d v="2011-02-10T00:00:00"/>
    <s v="Gloria Hernandez"/>
    <s v="Benjamin De Leon"/>
    <s v="77834067"/>
    <s v="TLGM"/>
    <s v="Fernandez, Marcelo"/>
    <n v="1"/>
    <d v="1900-01-03T09:30:00"/>
    <d v="1899-12-31T02:11:00"/>
    <n v="0.96274509803921626"/>
    <x v="44"/>
  </r>
  <r>
    <d v="2011-02-09T00:00:00"/>
    <s v="Gloria Hernandez"/>
    <s v="Benjamin De Leon"/>
    <s v="79369"/>
    <s v="TLGM"/>
    <s v="Drew, Benjamin"/>
    <n v="1"/>
    <d v="1900-01-03T08:30:00"/>
    <d v="1899-12-31T01:11:00"/>
    <n v="0.96274509803921626"/>
    <x v="45"/>
  </r>
  <r>
    <d v="2011-02-08T00:00:00"/>
    <s v="Gloria Hernandez"/>
    <s v="Benjamin De Leon"/>
    <s v="77834503"/>
    <s v="TLGM"/>
    <s v="De La Garza, Arturo"/>
    <n v="1"/>
    <d v="1900-01-03T07:30:00"/>
    <d v="1899-12-31T00:11:00"/>
    <n v="0.96274509803921626"/>
    <x v="46"/>
  </r>
  <r>
    <d v="2011-02-07T00:00:00"/>
    <s v="Gloria Hernandez"/>
    <s v="Benjamin De Leon"/>
    <s v="77834501"/>
    <s v="TLGM"/>
    <s v="Cerda, Alejandra"/>
    <n v="1"/>
    <d v="1900-01-03T06:30:00"/>
    <d v="1899-12-30T23:11:00"/>
    <n v="0.96274509803921626"/>
    <x v="47"/>
  </r>
  <r>
    <d v="2011-02-06T00:00:00"/>
    <s v="Gloria Hernandez"/>
    <s v="Benjamin De Leon"/>
    <s v="77778349"/>
    <s v="TLGM"/>
    <s v="Ortega, Cynthia"/>
    <n v="1"/>
    <d v="1900-01-03T05:30:00"/>
    <d v="1899-12-30T22:11:00"/>
    <n v="0.96274509803921626"/>
    <x v="48"/>
  </r>
  <r>
    <d v="2011-02-05T00:00:00"/>
    <s v="Gloria Hernandez"/>
    <s v="Benjamin De Leon"/>
    <s v="77834697"/>
    <s v="TLGM"/>
    <s v="Moreno, Dalila"/>
    <n v="1"/>
    <d v="1900-01-03T04:30:00"/>
    <d v="1899-12-30T21:11:00"/>
    <n v="0.96274509803921626"/>
    <x v="49"/>
  </r>
  <r>
    <d v="2011-02-04T00:00:00"/>
    <s v="Gloria Hernandez"/>
    <s v="Benjamin De Leon"/>
    <s v="77778347"/>
    <s v="TLGWM"/>
    <s v="Luna, Roberto"/>
    <n v="1"/>
    <d v="1900-01-03T03:30:00"/>
    <d v="1899-12-30T20:11:00"/>
    <n v="0.96274509803921626"/>
    <x v="50"/>
  </r>
  <r>
    <d v="2011-02-03T00:00:00"/>
    <s v="Gloria Hernandez"/>
    <s v="Benjamin De Leon"/>
    <s v="77834478344"/>
    <s v="TLGM"/>
    <s v="Herrera, Abril"/>
    <n v="1"/>
    <d v="1900-01-03T02:30:00"/>
    <d v="1899-12-30T19:11:00"/>
    <n v="0.96274509803921626"/>
    <x v="51"/>
  </r>
  <r>
    <d v="2011-02-02T00:00:00"/>
    <s v="Gloria Hernandez"/>
    <s v="Benjamin De Leon"/>
    <s v="77834562"/>
    <s v="TLGM"/>
    <s v="Gomez, Andrea"/>
    <n v="1"/>
    <d v="1900-01-03T01:30:00"/>
    <d v="1899-12-30T18:11:00"/>
    <n v="0.96274509803921626"/>
    <x v="52"/>
  </r>
  <r>
    <d v="2011-02-01T00:00:00"/>
    <s v="Gloria Hernandez"/>
    <s v="Benjamin De Leon"/>
    <s v="77834630"/>
    <s v="TLGM"/>
    <s v="Garcia, Jessica"/>
    <n v="1"/>
    <d v="1900-01-03T00:30:00"/>
    <d v="1899-12-30T17:11:00"/>
    <n v="0.96274509803921626"/>
    <x v="53"/>
  </r>
  <r>
    <d v="2011-01-31T00:00:00"/>
    <s v="Gloria Hernandez"/>
    <s v="Benjamin De Leon"/>
    <s v="77834552"/>
    <s v="TLGM"/>
    <s v="Flores, Laura"/>
    <n v="1"/>
    <d v="1900-01-02T23:30:00"/>
    <d v="1899-12-30T16:11:00"/>
    <n v="0.96274509803921626"/>
    <x v="54"/>
  </r>
  <r>
    <d v="2011-03-09T00:00:00"/>
    <s v="Jorge Bustos"/>
    <s v="Daniel Jimenez"/>
    <s v="77783427834"/>
    <s v="CMMCM"/>
    <s v="Martinez, Elias"/>
    <n v="1"/>
    <d v="1900-01-03T19:30:00"/>
    <d v="1900-01-01T05:11:00"/>
    <n v="0.96274509803921626"/>
    <x v="55"/>
  </r>
  <r>
    <d v="2011-03-03T00:00:00"/>
    <s v="Jorge Bustos"/>
    <s v="Cesar Hernandez"/>
    <s v="76976"/>
    <s v="UHVM"/>
    <s v="Escamilla, Hector"/>
    <n v="1"/>
    <d v="1900-01-03T18:30:00"/>
    <d v="1899-12-31T23:11:00"/>
    <n v="0.96274509803921626"/>
    <x v="56"/>
  </r>
  <r>
    <d v="2011-03-02T00:00:00"/>
    <s v="Jorge Bustos"/>
    <s v="Cesar Hernandez"/>
    <s v="77834146"/>
    <s v="UHVM"/>
    <s v="Delgado, Katia"/>
    <n v="1"/>
    <d v="1900-01-03T17:30:00"/>
    <d v="1899-12-31T22:11:00"/>
    <n v="0.96274509803921626"/>
    <x v="57"/>
  </r>
  <r>
    <d v="2011-03-01T00:00:00"/>
    <s v="Jorge Bustos"/>
    <s v="Cesar Hernandez"/>
    <s v="79523"/>
    <s v="UHVM"/>
    <s v="Villaseñor, Carlos"/>
    <n v="1"/>
    <d v="1900-01-03T16:30:00"/>
    <d v="1899-12-31T21:11:00"/>
    <n v="0.96274509803921626"/>
    <x v="58"/>
  </r>
  <r>
    <d v="2011-02-28T00:00:00"/>
    <s v="Jorge Bustos"/>
    <s v="Cesar Hernandez"/>
    <s v="79017"/>
    <s v="UHVM"/>
    <s v="Sanchez, Ana"/>
    <n v="1"/>
    <d v="1900-01-03T15:30:00"/>
    <d v="1899-12-31T20:11:00"/>
    <n v="0.96274509803921626"/>
    <x v="5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d v="2011-03-20T00:00:00"/>
    <x v="0"/>
    <x v="0"/>
    <s v="77476"/>
    <s v="TLGM"/>
    <x v="0"/>
    <n v="1"/>
    <d v="1900-01-01T16:30:00"/>
    <d v="1900-01-01T16:11:00"/>
    <n v="0.96274509803921626"/>
    <x v="0"/>
  </r>
  <r>
    <d v="2011-03-19T00:00:00"/>
    <x v="0"/>
    <x v="0"/>
    <s v="79476"/>
    <s v="TLGM"/>
    <x v="1"/>
    <n v="1"/>
    <d v="1900-01-01T15:30:00"/>
    <d v="1900-01-01T15:11:00"/>
    <n v="0.96274509803921626"/>
    <x v="1"/>
  </r>
  <r>
    <d v="2011-03-18T00:00:00"/>
    <x v="0"/>
    <x v="0"/>
    <s v="79634"/>
    <s v="TLGM"/>
    <x v="2"/>
    <n v="1"/>
    <d v="1900-01-01T14:30:00"/>
    <d v="1900-01-01T14:11:00"/>
    <n v="0.96274509803921626"/>
    <x v="2"/>
  </r>
  <r>
    <d v="2011-03-17T00:00:00"/>
    <x v="0"/>
    <x v="0"/>
    <s v="79390"/>
    <s v="TLGWM"/>
    <x v="3"/>
    <n v="1"/>
    <d v="1900-01-01T13:30:00"/>
    <d v="1900-01-01T13:11:00"/>
    <n v="0.96274509803921626"/>
    <x v="3"/>
  </r>
  <r>
    <d v="2011-03-16T00:00:00"/>
    <x v="0"/>
    <x v="0"/>
    <s v="77834743"/>
    <s v="TLGWM"/>
    <x v="4"/>
    <n v="1"/>
    <d v="1900-01-01T12:30:00"/>
    <d v="1900-01-01T12:11:00"/>
    <n v="0.96274509803921626"/>
    <x v="4"/>
  </r>
  <r>
    <d v="2011-03-15T00:00:00"/>
    <x v="0"/>
    <x v="0"/>
    <s v="77834565"/>
    <s v="TLGM"/>
    <x v="5"/>
    <n v="1"/>
    <d v="1900-01-01T11:30:00"/>
    <d v="1900-01-01T11:11:00"/>
    <n v="0.96274509803921626"/>
    <x v="5"/>
  </r>
  <r>
    <d v="2011-03-14T00:00:00"/>
    <x v="0"/>
    <x v="0"/>
    <s v="75147"/>
    <s v="TLGWM"/>
    <x v="6"/>
    <n v="1"/>
    <d v="1900-01-01T10:30:00"/>
    <d v="1900-01-01T10:11:00"/>
    <n v="0.96274509803921626"/>
    <x v="6"/>
  </r>
  <r>
    <d v="2011-03-13T00:00:00"/>
    <x v="0"/>
    <x v="0"/>
    <s v="77834046"/>
    <s v="TLGWM"/>
    <x v="7"/>
    <n v="1"/>
    <d v="1900-01-01T09:30:00"/>
    <d v="1900-01-01T09:11:00"/>
    <n v="0.96274509803921626"/>
    <x v="7"/>
  </r>
  <r>
    <d v="2011-03-12T00:00:00"/>
    <x v="0"/>
    <x v="0"/>
    <s v="77077834"/>
    <s v="TLGM"/>
    <x v="8"/>
    <n v="1"/>
    <d v="1900-01-01T08:30:00"/>
    <d v="1900-01-01T08:11:00"/>
    <n v="0.96274509803921626"/>
    <x v="8"/>
  </r>
  <r>
    <d v="2011-03-11T00:00:00"/>
    <x v="0"/>
    <x v="0"/>
    <s v="79437"/>
    <s v="TLGWM"/>
    <x v="9"/>
    <n v="1"/>
    <d v="1900-01-01T07:30:00"/>
    <d v="1900-01-01T07:11:00"/>
    <n v="0.96274509803921626"/>
    <x v="9"/>
  </r>
  <r>
    <d v="2011-03-10T00:00:00"/>
    <x v="0"/>
    <x v="0"/>
    <s v="76678342"/>
    <s v="TLGWM"/>
    <x v="10"/>
    <n v="1"/>
    <d v="1900-01-01T06:30:00"/>
    <d v="1900-01-01T06:11:00"/>
    <n v="0.96274509803921626"/>
    <x v="10"/>
  </r>
  <r>
    <d v="2011-03-25T00:00:00"/>
    <x v="1"/>
    <x v="1"/>
    <s v="79327834"/>
    <s v="TLGM"/>
    <x v="11"/>
    <n v="1"/>
    <d v="1900-01-02T22:30:00"/>
    <d v="1900-01-01T21:11:00"/>
    <n v="0.96274509803921626"/>
    <x v="11"/>
  </r>
  <r>
    <d v="2011-03-24T00:00:00"/>
    <x v="1"/>
    <x v="1"/>
    <s v="79630"/>
    <s v="TLGM"/>
    <x v="12"/>
    <n v="0"/>
    <d v="1900-01-02T21:30:00"/>
    <d v="1900-01-01T20:11:00"/>
    <n v="0.96274509803921626"/>
    <x v="12"/>
  </r>
  <r>
    <d v="2011-03-23T00:00:00"/>
    <x v="1"/>
    <x v="1"/>
    <s v="77834783499"/>
    <s v="TLGWM"/>
    <x v="13"/>
    <n v="1"/>
    <d v="1900-01-02T20:30:00"/>
    <d v="1900-01-01T19:11:00"/>
    <n v="0.96274509803921626"/>
    <x v="13"/>
  </r>
  <r>
    <d v="2011-03-22T00:00:00"/>
    <x v="1"/>
    <x v="1"/>
    <s v="79436"/>
    <s v="TLGWM"/>
    <x v="14"/>
    <n v="1"/>
    <d v="1900-01-02T19:30:00"/>
    <d v="1900-01-01T18:11:00"/>
    <n v="0.96274509803921626"/>
    <x v="14"/>
  </r>
  <r>
    <d v="2011-03-21T00:00:00"/>
    <x v="1"/>
    <x v="1"/>
    <s v="76640"/>
    <s v="TLGWM"/>
    <x v="15"/>
    <n v="0"/>
    <d v="1900-01-02T18:30:00"/>
    <d v="1900-01-01T17:11:00"/>
    <n v="0.96274509803921626"/>
    <x v="15"/>
  </r>
  <r>
    <d v="2011-03-08T00:00:00"/>
    <x v="1"/>
    <x v="2"/>
    <s v="79074"/>
    <s v="TLGWM"/>
    <x v="16"/>
    <n v="0"/>
    <d v="1900-01-02T17:30:00"/>
    <d v="1900-01-01T04:11:00"/>
    <n v="0.96274509803921626"/>
    <x v="16"/>
  </r>
  <r>
    <d v="2011-03-07T00:00:00"/>
    <x v="1"/>
    <x v="2"/>
    <s v="79536"/>
    <s v="TLGM"/>
    <x v="17"/>
    <n v="1"/>
    <d v="1900-01-02T16:30:00"/>
    <d v="1900-01-01T03:11:00"/>
    <n v="0.96274509803921626"/>
    <x v="17"/>
  </r>
  <r>
    <d v="2011-03-06T00:00:00"/>
    <x v="1"/>
    <x v="2"/>
    <s v="79252"/>
    <s v="TLGWM"/>
    <x v="18"/>
    <n v="1"/>
    <d v="1900-01-02T15:30:00"/>
    <d v="1900-01-01T02:11:00"/>
    <n v="0.96274509803921626"/>
    <x v="18"/>
  </r>
  <r>
    <d v="2011-03-05T00:00:00"/>
    <x v="1"/>
    <x v="2"/>
    <s v="77834783491"/>
    <s v="TLGWM"/>
    <x v="19"/>
    <n v="1"/>
    <d v="1900-01-02T14:30:00"/>
    <d v="1900-01-01T01:11:00"/>
    <n v="0.96274509803921626"/>
    <x v="19"/>
  </r>
  <r>
    <d v="2011-03-04T00:00:00"/>
    <x v="1"/>
    <x v="2"/>
    <s v="75571"/>
    <s v="TLGWM"/>
    <x v="20"/>
    <n v="0"/>
    <d v="1900-01-02T13:30:00"/>
    <d v="1900-01-01T00:11:00"/>
    <n v="0.96274509803921626"/>
    <x v="20"/>
  </r>
  <r>
    <d v="2011-02-25T00:00:00"/>
    <x v="1"/>
    <x v="3"/>
    <s v="79444"/>
    <s v="TLGWM"/>
    <x v="21"/>
    <n v="1"/>
    <d v="1900-01-02T12:30:00"/>
    <d v="1899-12-31T17:11:00"/>
    <n v="0.96274509803921626"/>
    <x v="21"/>
  </r>
  <r>
    <d v="2011-02-24T00:00:00"/>
    <x v="1"/>
    <x v="3"/>
    <s v="79070"/>
    <s v="TLGWM"/>
    <x v="22"/>
    <n v="0"/>
    <d v="1900-01-02T11:30:00"/>
    <d v="1899-12-31T16:11:00"/>
    <n v="0.96274509803921626"/>
    <x v="22"/>
  </r>
  <r>
    <d v="2011-02-23T00:00:00"/>
    <x v="1"/>
    <x v="3"/>
    <s v="79614"/>
    <s v="TLGWM"/>
    <x v="23"/>
    <n v="1"/>
    <d v="1900-01-02T10:30:00"/>
    <d v="1899-12-31T15:11:00"/>
    <n v="0.96274509803921626"/>
    <x v="23"/>
  </r>
  <r>
    <d v="2011-02-22T00:00:00"/>
    <x v="1"/>
    <x v="3"/>
    <s v="77834747"/>
    <s v="TLGWM"/>
    <x v="24"/>
    <n v="1"/>
    <d v="1900-01-02T09:30:00"/>
    <d v="1899-12-31T14:11:00"/>
    <n v="0.96274509803921626"/>
    <x v="24"/>
  </r>
  <r>
    <d v="2011-02-21T00:00:00"/>
    <x v="1"/>
    <x v="3"/>
    <s v="79442"/>
    <s v="TLGWM"/>
    <x v="25"/>
    <n v="0"/>
    <d v="1900-01-02T08:30:00"/>
    <d v="1899-12-31T13:11:00"/>
    <n v="0.96274509803921626"/>
    <x v="25"/>
  </r>
  <r>
    <d v="2011-02-20T00:00:00"/>
    <x v="1"/>
    <x v="3"/>
    <s v="79633"/>
    <s v="TLGM"/>
    <x v="26"/>
    <n v="1"/>
    <d v="1900-01-02T07:30:00"/>
    <d v="1899-12-31T12:11:00"/>
    <n v="0.96274509803921626"/>
    <x v="26"/>
  </r>
  <r>
    <d v="2011-02-19T00:00:00"/>
    <x v="1"/>
    <x v="3"/>
    <s v="79783430"/>
    <s v="TLGWM"/>
    <x v="27"/>
    <n v="1"/>
    <d v="1900-01-02T06:30:00"/>
    <d v="1899-12-31T11:11:00"/>
    <n v="0.96274509803921626"/>
    <x v="27"/>
  </r>
  <r>
    <d v="2011-02-18T00:00:00"/>
    <x v="1"/>
    <x v="3"/>
    <s v="77834377"/>
    <s v="TLGM"/>
    <x v="28"/>
    <n v="1"/>
    <d v="1900-01-02T05:30:00"/>
    <d v="1899-12-31T10:11:00"/>
    <n v="0.96274509803921626"/>
    <x v="28"/>
  </r>
  <r>
    <d v="2011-02-17T00:00:00"/>
    <x v="1"/>
    <x v="3"/>
    <s v="77834377"/>
    <s v="TLGM"/>
    <x v="29"/>
    <n v="1"/>
    <d v="1900-01-02T04:30:00"/>
    <d v="1899-12-31T09:11:00"/>
    <n v="0.96274509803921626"/>
    <x v="29"/>
  </r>
  <r>
    <d v="2011-02-16T00:00:00"/>
    <x v="1"/>
    <x v="3"/>
    <s v="75901"/>
    <s v="TLGWM"/>
    <x v="30"/>
    <n v="1"/>
    <d v="1900-01-02T03:30:00"/>
    <d v="1899-12-31T08:11:00"/>
    <n v="0.96274509803921626"/>
    <x v="30"/>
  </r>
  <r>
    <d v="2011-02-15T00:00:00"/>
    <x v="1"/>
    <x v="3"/>
    <s v="77834045"/>
    <s v="TLGWM"/>
    <x v="31"/>
    <n v="1"/>
    <d v="1900-01-02T02:30:00"/>
    <d v="1899-12-31T07:11:00"/>
    <n v="0.96274509803921626"/>
    <x v="31"/>
  </r>
  <r>
    <d v="2011-02-14T00:00:00"/>
    <x v="1"/>
    <x v="3"/>
    <s v="79197"/>
    <s v="TLGM"/>
    <x v="32"/>
    <n v="1"/>
    <d v="1900-01-02T01:30:00"/>
    <d v="1899-12-31T06:11:00"/>
    <n v="0.96274509803921626"/>
    <x v="32"/>
  </r>
  <r>
    <d v="2011-01-30T00:00:00"/>
    <x v="1"/>
    <x v="4"/>
    <s v="77834601"/>
    <s v="TLGM"/>
    <x v="33"/>
    <n v="1"/>
    <d v="1900-01-02T00:30:00"/>
    <d v="1899-12-30T15:11:00"/>
    <n v="0.96274509803921626"/>
    <x v="33"/>
  </r>
  <r>
    <d v="2011-01-29T00:00:00"/>
    <x v="1"/>
    <x v="4"/>
    <s v="79762"/>
    <s v="TLGWM"/>
    <x v="34"/>
    <n v="1"/>
    <d v="1900-01-01T23:30:00"/>
    <d v="1899-12-30T14:11:00"/>
    <n v="0.96274509803921626"/>
    <x v="34"/>
  </r>
  <r>
    <d v="2011-01-28T00:00:00"/>
    <x v="1"/>
    <x v="4"/>
    <s v="79203"/>
    <s v="TLGWM"/>
    <x v="35"/>
    <n v="1"/>
    <d v="1900-01-01T22:30:00"/>
    <d v="1899-12-30T13:11:00"/>
    <n v="0.96274509803921626"/>
    <x v="35"/>
  </r>
  <r>
    <d v="2011-01-27T00:00:00"/>
    <x v="1"/>
    <x v="4"/>
    <s v="79243"/>
    <s v="TLGM"/>
    <x v="36"/>
    <n v="1"/>
    <d v="1900-01-01T21:30:00"/>
    <d v="1899-12-30T12:11:00"/>
    <n v="0.96274509803921626"/>
    <x v="36"/>
  </r>
  <r>
    <d v="2011-01-26T00:00:00"/>
    <x v="1"/>
    <x v="4"/>
    <s v="79067834"/>
    <s v="TLGWM"/>
    <x v="37"/>
    <n v="1"/>
    <d v="1900-01-01T20:30:00"/>
    <d v="1899-12-30T11:11:00"/>
    <n v="0.96274509803921626"/>
    <x v="37"/>
  </r>
  <r>
    <d v="2011-01-25T00:00:00"/>
    <x v="1"/>
    <x v="4"/>
    <s v="77834516"/>
    <s v="TLGWM"/>
    <x v="38"/>
    <n v="1"/>
    <d v="1900-01-01T19:30:00"/>
    <d v="1899-12-30T10:11:00"/>
    <n v="0.96274509803921626"/>
    <x v="38"/>
  </r>
  <r>
    <d v="2011-01-24T00:00:00"/>
    <x v="1"/>
    <x v="4"/>
    <s v="77834156"/>
    <s v="TLGM"/>
    <x v="39"/>
    <n v="1"/>
    <d v="1900-01-01T18:30:00"/>
    <d v="1899-12-30T09:11:00"/>
    <n v="0.96274509803921626"/>
    <x v="39"/>
  </r>
  <r>
    <d v="2011-01-23T00:00:00"/>
    <x v="1"/>
    <x v="4"/>
    <s v="77834746"/>
    <s v="TLGWM"/>
    <x v="40"/>
    <n v="1"/>
    <d v="1900-01-01T17:30:00"/>
    <d v="1899-12-30T08:11:00"/>
    <n v="0.96274509803921626"/>
    <x v="40"/>
  </r>
  <r>
    <d v="2011-02-13T00:00:00"/>
    <x v="2"/>
    <x v="5"/>
    <s v="79375"/>
    <s v="TLGM"/>
    <x v="41"/>
    <n v="1"/>
    <d v="1900-01-03T12:30:00"/>
    <d v="1899-12-31T05:11:00"/>
    <n v="0.96274509803921626"/>
    <x v="41"/>
  </r>
  <r>
    <d v="2011-02-12T00:00:00"/>
    <x v="2"/>
    <x v="5"/>
    <s v="79677"/>
    <s v="TLGM"/>
    <x v="42"/>
    <n v="1"/>
    <d v="1900-01-03T11:30:00"/>
    <d v="1899-12-31T04:11:00"/>
    <n v="0.96274509803921626"/>
    <x v="42"/>
  </r>
  <r>
    <d v="2011-02-11T00:00:00"/>
    <x v="2"/>
    <x v="5"/>
    <s v="79064"/>
    <s v="TLGWM"/>
    <x v="43"/>
    <n v="1"/>
    <d v="1900-01-03T10:30:00"/>
    <d v="1899-12-31T03:11:00"/>
    <n v="0.96274509803921626"/>
    <x v="43"/>
  </r>
  <r>
    <d v="2011-02-10T00:00:00"/>
    <x v="2"/>
    <x v="5"/>
    <s v="77834067"/>
    <s v="TLGM"/>
    <x v="44"/>
    <n v="1"/>
    <d v="1900-01-03T09:30:00"/>
    <d v="1899-12-31T02:11:00"/>
    <n v="0.96274509803921626"/>
    <x v="44"/>
  </r>
  <r>
    <d v="2011-02-09T00:00:00"/>
    <x v="2"/>
    <x v="5"/>
    <s v="79369"/>
    <s v="TLGM"/>
    <x v="45"/>
    <n v="1"/>
    <d v="1900-01-03T08:30:00"/>
    <d v="1899-12-31T01:11:00"/>
    <n v="0.96274509803921626"/>
    <x v="45"/>
  </r>
  <r>
    <d v="2011-02-08T00:00:00"/>
    <x v="2"/>
    <x v="5"/>
    <s v="77834503"/>
    <s v="TLGM"/>
    <x v="46"/>
    <n v="1"/>
    <d v="1900-01-03T07:30:00"/>
    <d v="1899-12-31T00:11:00"/>
    <n v="0.96274509803921626"/>
    <x v="46"/>
  </r>
  <r>
    <d v="2011-02-07T00:00:00"/>
    <x v="2"/>
    <x v="5"/>
    <s v="77834501"/>
    <s v="TLGM"/>
    <x v="47"/>
    <n v="1"/>
    <d v="1900-01-03T06:30:00"/>
    <d v="1899-12-30T23:11:00"/>
    <n v="0.96274509803921626"/>
    <x v="47"/>
  </r>
  <r>
    <d v="2011-02-06T00:00:00"/>
    <x v="2"/>
    <x v="5"/>
    <s v="77778349"/>
    <s v="TLGM"/>
    <x v="48"/>
    <n v="1"/>
    <d v="1900-01-03T05:30:00"/>
    <d v="1899-12-30T22:11:00"/>
    <n v="0.96274509803921626"/>
    <x v="48"/>
  </r>
  <r>
    <d v="2011-02-05T00:00:00"/>
    <x v="2"/>
    <x v="5"/>
    <s v="77834697"/>
    <s v="TLGM"/>
    <x v="49"/>
    <n v="1"/>
    <d v="1900-01-03T04:30:00"/>
    <d v="1899-12-30T21:11:00"/>
    <n v="0.96274509803921626"/>
    <x v="49"/>
  </r>
  <r>
    <d v="2011-02-04T00:00:00"/>
    <x v="2"/>
    <x v="5"/>
    <s v="77778347"/>
    <s v="TLGWM"/>
    <x v="50"/>
    <n v="1"/>
    <d v="1900-01-03T03:30:00"/>
    <d v="1899-12-30T20:11:00"/>
    <n v="0.96274509803921626"/>
    <x v="50"/>
  </r>
  <r>
    <d v="2011-02-03T00:00:00"/>
    <x v="2"/>
    <x v="5"/>
    <s v="77834478344"/>
    <s v="TLGM"/>
    <x v="51"/>
    <n v="1"/>
    <d v="1900-01-03T02:30:00"/>
    <d v="1899-12-30T19:11:00"/>
    <n v="0.96274509803921626"/>
    <x v="51"/>
  </r>
  <r>
    <d v="2011-02-02T00:00:00"/>
    <x v="2"/>
    <x v="5"/>
    <s v="77834562"/>
    <s v="TLGM"/>
    <x v="52"/>
    <n v="1"/>
    <d v="1900-01-03T01:30:00"/>
    <d v="1899-12-30T18:11:00"/>
    <n v="0.96274509803921626"/>
    <x v="52"/>
  </r>
  <r>
    <d v="2011-02-01T00:00:00"/>
    <x v="2"/>
    <x v="5"/>
    <s v="77834630"/>
    <s v="TLGM"/>
    <x v="53"/>
    <n v="1"/>
    <d v="1900-01-03T00:30:00"/>
    <d v="1899-12-30T17:11:00"/>
    <n v="0.96274509803921626"/>
    <x v="53"/>
  </r>
  <r>
    <d v="2011-01-31T00:00:00"/>
    <x v="2"/>
    <x v="5"/>
    <s v="77834552"/>
    <s v="TLGM"/>
    <x v="54"/>
    <n v="1"/>
    <d v="1900-01-02T23:30:00"/>
    <d v="1899-12-30T16:11:00"/>
    <n v="0.96274509803921626"/>
    <x v="54"/>
  </r>
  <r>
    <d v="2011-03-09T00:00:00"/>
    <x v="3"/>
    <x v="6"/>
    <s v="77783427834"/>
    <s v="CMMCM"/>
    <x v="55"/>
    <n v="1"/>
    <d v="1900-01-03T19:30:00"/>
    <d v="1900-01-01T05:11:00"/>
    <n v="0.96274509803921626"/>
    <x v="55"/>
  </r>
  <r>
    <d v="2011-03-03T00:00:00"/>
    <x v="3"/>
    <x v="7"/>
    <s v="76976"/>
    <s v="UHVM"/>
    <x v="56"/>
    <n v="1"/>
    <d v="1900-01-03T18:30:00"/>
    <d v="1899-12-31T23:11:00"/>
    <n v="0.96274509803921626"/>
    <x v="56"/>
  </r>
  <r>
    <d v="2011-03-02T00:00:00"/>
    <x v="3"/>
    <x v="7"/>
    <s v="77834146"/>
    <s v="UHVM"/>
    <x v="57"/>
    <n v="1"/>
    <d v="1900-01-03T17:30:00"/>
    <d v="1899-12-31T22:11:00"/>
    <n v="0.96274509803921626"/>
    <x v="57"/>
  </r>
  <r>
    <d v="2011-03-01T00:00:00"/>
    <x v="3"/>
    <x v="7"/>
    <s v="79523"/>
    <s v="UHVM"/>
    <x v="58"/>
    <n v="1"/>
    <d v="1900-01-03T16:30:00"/>
    <d v="1899-12-31T21:11:00"/>
    <n v="0.96274509803921626"/>
    <x v="58"/>
  </r>
  <r>
    <d v="2011-02-28T00:00:00"/>
    <x v="3"/>
    <x v="7"/>
    <s v="79017"/>
    <s v="UHVM"/>
    <x v="59"/>
    <n v="1"/>
    <d v="1900-01-03T15:30:00"/>
    <d v="1899-12-31T20:11:00"/>
    <n v="0.96274509803921626"/>
    <x v="59"/>
  </r>
  <r>
    <d v="2011-02-27T00:00:00"/>
    <x v="3"/>
    <x v="7"/>
    <s v="79136"/>
    <s v="UHVM"/>
    <x v="60"/>
    <n v="1"/>
    <d v="1900-01-03T14:30:00"/>
    <d v="1899-12-31T19:11:00"/>
    <n v="0.96274509803921626"/>
    <x v="60"/>
  </r>
  <r>
    <d v="2011-02-26T00:00:00"/>
    <x v="3"/>
    <x v="7"/>
    <s v="79253"/>
    <s v="UHVM"/>
    <x v="61"/>
    <n v="1"/>
    <d v="1900-01-03T13:30:00"/>
    <d v="1899-12-31T18:11:00"/>
    <n v="0.96274509803921626"/>
    <x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98C288-BBDD-41B6-A4DF-F8898C172922}" name="TablaDinámica2" cacheId="24" applyNumberFormats="0" applyBorderFormats="0" applyFontFormats="0" applyPatternFormats="0" applyAlignmentFormats="0" applyWidthHeightFormats="1" dataCaption="Valores" errorCaption="-" showError="1" missingCaption="-" updatedVersion="8" minRefreshableVersion="3" useAutoFormatting="1" itemPrintTitles="1" mergeItem="1" createdVersion="8" indent="0" showHeaders="0" compact="0" compactData="0" gridDropZones="1" chartFormat="1">
  <location ref="A140:BN220" firstHeaderRow="1" firstDataRow="2" firstDataCol="3"/>
  <pivotFields count="11">
    <pivotField compact="0" numFmtId="167" outline="0" showAll="0"/>
    <pivotField axis="axisRow" compact="0" outline="0" showAll="0">
      <items count="5">
        <item x="0"/>
        <item x="1"/>
        <item x="2"/>
        <item x="3"/>
        <item t="default"/>
      </items>
    </pivotField>
    <pivotField axis="axisRow" compact="0" outline="0" showAll="0">
      <items count="9">
        <item x="4"/>
        <item x="5"/>
        <item x="3"/>
        <item x="7"/>
        <item x="2"/>
        <item x="6"/>
        <item x="0"/>
        <item x="1"/>
        <item t="default"/>
      </items>
    </pivotField>
    <pivotField compact="0" outline="0" showAll="0"/>
    <pivotField compact="0" outline="0" showAll="0"/>
    <pivotField axis="axisRow" compact="0" outline="0" showAll="0" defaultSubtotal="0">
      <items count="62">
        <item x="32"/>
        <item x="15"/>
        <item x="31"/>
        <item x="47"/>
        <item x="40"/>
        <item x="30"/>
        <item x="29"/>
        <item x="28"/>
        <item x="46"/>
        <item x="10"/>
        <item x="14"/>
        <item x="57"/>
        <item x="45"/>
        <item x="56"/>
        <item x="44"/>
        <item x="54"/>
        <item x="9"/>
        <item x="53"/>
        <item x="13"/>
        <item x="12"/>
        <item x="52"/>
        <item x="27"/>
        <item x="8"/>
        <item x="7"/>
        <item x="20"/>
        <item x="26"/>
        <item x="19"/>
        <item x="51"/>
        <item x="2"/>
        <item x="1"/>
        <item x="50"/>
        <item x="0"/>
        <item x="55"/>
        <item x="6"/>
        <item x="11"/>
        <item x="5"/>
        <item x="49"/>
        <item x="4"/>
        <item x="39"/>
        <item x="25"/>
        <item x="48"/>
        <item x="24"/>
        <item x="18"/>
        <item x="43"/>
        <item x="38"/>
        <item x="42"/>
        <item x="61"/>
        <item x="3"/>
        <item x="23"/>
        <item x="60"/>
        <item x="59"/>
        <item x="37"/>
        <item x="22"/>
        <item x="36"/>
        <item x="21"/>
        <item x="35"/>
        <item x="41"/>
        <item x="17"/>
        <item x="58"/>
        <item x="16"/>
        <item x="34"/>
        <item x="33"/>
      </items>
    </pivotField>
    <pivotField compact="0" outline="0" showAll="0"/>
    <pivotField compact="0" numFmtId="169" outline="0" showAll="0"/>
    <pivotField compact="0" numFmtId="169" outline="0" showAll="0"/>
    <pivotField compact="0" numFmtId="10" outline="0" showAll="0"/>
    <pivotField axis="axisCol" dataField="1" compact="0" numFmtId="10" outline="0" showAll="0">
      <items count="63">
        <item x="40"/>
        <item x="39"/>
        <item x="38"/>
        <item x="37"/>
        <item x="54"/>
        <item x="36"/>
        <item x="53"/>
        <item x="52"/>
        <item x="35"/>
        <item x="51"/>
        <item x="34"/>
        <item x="50"/>
        <item x="33"/>
        <item x="49"/>
        <item x="48"/>
        <item x="47"/>
        <item x="46"/>
        <item x="45"/>
        <item x="44"/>
        <item x="43"/>
        <item x="42"/>
        <item x="41"/>
        <item x="61"/>
        <item x="60"/>
        <item x="59"/>
        <item x="58"/>
        <item x="57"/>
        <item x="32"/>
        <item x="56"/>
        <item x="31"/>
        <item x="30"/>
        <item x="29"/>
        <item x="28"/>
        <item x="27"/>
        <item x="26"/>
        <item x="55"/>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3">
    <field x="2"/>
    <field x="1"/>
    <field x="5"/>
  </rowFields>
  <rowItems count="79">
    <i>
      <x/>
      <x v="1"/>
      <x v="4"/>
    </i>
    <i r="2">
      <x v="38"/>
    </i>
    <i r="2">
      <x v="44"/>
    </i>
    <i r="2">
      <x v="51"/>
    </i>
    <i r="2">
      <x v="53"/>
    </i>
    <i r="2">
      <x v="55"/>
    </i>
    <i r="2">
      <x v="60"/>
    </i>
    <i r="2">
      <x v="61"/>
    </i>
    <i t="default" r="1">
      <x v="1"/>
    </i>
    <i t="default">
      <x/>
    </i>
    <i>
      <x v="1"/>
      <x v="2"/>
      <x v="3"/>
    </i>
    <i r="2">
      <x v="8"/>
    </i>
    <i r="2">
      <x v="12"/>
    </i>
    <i r="2">
      <x v="14"/>
    </i>
    <i r="2">
      <x v="15"/>
    </i>
    <i r="2">
      <x v="17"/>
    </i>
    <i r="2">
      <x v="20"/>
    </i>
    <i r="2">
      <x v="27"/>
    </i>
    <i r="2">
      <x v="30"/>
    </i>
    <i r="2">
      <x v="36"/>
    </i>
    <i r="2">
      <x v="40"/>
    </i>
    <i r="2">
      <x v="43"/>
    </i>
    <i r="2">
      <x v="45"/>
    </i>
    <i r="2">
      <x v="56"/>
    </i>
    <i t="default" r="1">
      <x v="2"/>
    </i>
    <i t="default">
      <x v="1"/>
    </i>
    <i>
      <x v="2"/>
      <x v="1"/>
      <x/>
    </i>
    <i r="2">
      <x v="2"/>
    </i>
    <i r="2">
      <x v="5"/>
    </i>
    <i r="2">
      <x v="6"/>
    </i>
    <i r="2">
      <x v="7"/>
    </i>
    <i r="2">
      <x v="21"/>
    </i>
    <i r="2">
      <x v="25"/>
    </i>
    <i r="2">
      <x v="39"/>
    </i>
    <i r="2">
      <x v="41"/>
    </i>
    <i r="2">
      <x v="48"/>
    </i>
    <i r="2">
      <x v="52"/>
    </i>
    <i r="2">
      <x v="54"/>
    </i>
    <i t="default" r="1">
      <x v="1"/>
    </i>
    <i t="default">
      <x v="2"/>
    </i>
    <i>
      <x v="3"/>
      <x v="3"/>
      <x v="11"/>
    </i>
    <i r="2">
      <x v="13"/>
    </i>
    <i r="2">
      <x v="46"/>
    </i>
    <i r="2">
      <x v="49"/>
    </i>
    <i r="2">
      <x v="50"/>
    </i>
    <i r="2">
      <x v="58"/>
    </i>
    <i t="default" r="1">
      <x v="3"/>
    </i>
    <i t="default">
      <x v="3"/>
    </i>
    <i>
      <x v="4"/>
      <x v="1"/>
      <x v="24"/>
    </i>
    <i r="2">
      <x v="26"/>
    </i>
    <i r="2">
      <x v="42"/>
    </i>
    <i r="2">
      <x v="57"/>
    </i>
    <i r="2">
      <x v="59"/>
    </i>
    <i t="default" r="1">
      <x v="1"/>
    </i>
    <i t="default">
      <x v="4"/>
    </i>
    <i>
      <x v="5"/>
      <x v="3"/>
      <x v="32"/>
    </i>
    <i t="default" r="1">
      <x v="3"/>
    </i>
    <i t="default">
      <x v="5"/>
    </i>
    <i>
      <x v="6"/>
      <x/>
      <x v="9"/>
    </i>
    <i r="2">
      <x v="16"/>
    </i>
    <i r="2">
      <x v="22"/>
    </i>
    <i r="2">
      <x v="23"/>
    </i>
    <i r="2">
      <x v="28"/>
    </i>
    <i r="2">
      <x v="29"/>
    </i>
    <i r="2">
      <x v="31"/>
    </i>
    <i r="2">
      <x v="33"/>
    </i>
    <i r="2">
      <x v="35"/>
    </i>
    <i r="2">
      <x v="37"/>
    </i>
    <i r="2">
      <x v="47"/>
    </i>
    <i t="default" r="1">
      <x/>
    </i>
    <i t="default">
      <x v="6"/>
    </i>
    <i>
      <x v="7"/>
      <x v="1"/>
      <x v="1"/>
    </i>
    <i r="2">
      <x v="10"/>
    </i>
    <i r="2">
      <x v="18"/>
    </i>
    <i r="2">
      <x v="19"/>
    </i>
    <i r="2">
      <x v="34"/>
    </i>
    <i t="default" r="1">
      <x v="1"/>
    </i>
    <i t="default">
      <x v="7"/>
    </i>
    <i t="grand">
      <x/>
    </i>
  </rowItems>
  <colFields count="1">
    <field x="10"/>
  </colFields>
  <col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colItems>
  <dataFields count="1">
    <dataField name="Cuenta de Resultado Adherencia" fld="10" subtotal="count" baseField="2" baseItem="0"/>
  </dataFields>
  <chartFormats count="6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 chart="0" format="9" series="1">
      <pivotArea type="data" outline="0" fieldPosition="0">
        <references count="2">
          <reference field="4294967294" count="1" selected="0">
            <x v="0"/>
          </reference>
          <reference field="10" count="1" selected="0">
            <x v="9"/>
          </reference>
        </references>
      </pivotArea>
    </chartFormat>
    <chartFormat chart="0" format="10" series="1">
      <pivotArea type="data" outline="0" fieldPosition="0">
        <references count="2">
          <reference field="4294967294" count="1" selected="0">
            <x v="0"/>
          </reference>
          <reference field="10" count="1" selected="0">
            <x v="10"/>
          </reference>
        </references>
      </pivotArea>
    </chartFormat>
    <chartFormat chart="0" format="11" series="1">
      <pivotArea type="data" outline="0" fieldPosition="0">
        <references count="2">
          <reference field="4294967294" count="1" selected="0">
            <x v="0"/>
          </reference>
          <reference field="10" count="1" selected="0">
            <x v="11"/>
          </reference>
        </references>
      </pivotArea>
    </chartFormat>
    <chartFormat chart="0" format="12" series="1">
      <pivotArea type="data" outline="0" fieldPosition="0">
        <references count="2">
          <reference field="4294967294" count="1" selected="0">
            <x v="0"/>
          </reference>
          <reference field="10" count="1" selected="0">
            <x v="12"/>
          </reference>
        </references>
      </pivotArea>
    </chartFormat>
    <chartFormat chart="0" format="13" series="1">
      <pivotArea type="data" outline="0" fieldPosition="0">
        <references count="2">
          <reference field="4294967294" count="1" selected="0">
            <x v="0"/>
          </reference>
          <reference field="10" count="1" selected="0">
            <x v="13"/>
          </reference>
        </references>
      </pivotArea>
    </chartFormat>
    <chartFormat chart="0" format="14" series="1">
      <pivotArea type="data" outline="0" fieldPosition="0">
        <references count="2">
          <reference field="4294967294" count="1" selected="0">
            <x v="0"/>
          </reference>
          <reference field="10" count="1" selected="0">
            <x v="14"/>
          </reference>
        </references>
      </pivotArea>
    </chartFormat>
    <chartFormat chart="0" format="15" series="1">
      <pivotArea type="data" outline="0" fieldPosition="0">
        <references count="2">
          <reference field="4294967294" count="1" selected="0">
            <x v="0"/>
          </reference>
          <reference field="10" count="1" selected="0">
            <x v="15"/>
          </reference>
        </references>
      </pivotArea>
    </chartFormat>
    <chartFormat chart="0" format="16" series="1">
      <pivotArea type="data" outline="0" fieldPosition="0">
        <references count="2">
          <reference field="4294967294" count="1" selected="0">
            <x v="0"/>
          </reference>
          <reference field="10" count="1" selected="0">
            <x v="16"/>
          </reference>
        </references>
      </pivotArea>
    </chartFormat>
    <chartFormat chart="0" format="17" series="1">
      <pivotArea type="data" outline="0" fieldPosition="0">
        <references count="2">
          <reference field="4294967294" count="1" selected="0">
            <x v="0"/>
          </reference>
          <reference field="10" count="1" selected="0">
            <x v="17"/>
          </reference>
        </references>
      </pivotArea>
    </chartFormat>
    <chartFormat chart="0" format="18" series="1">
      <pivotArea type="data" outline="0" fieldPosition="0">
        <references count="2">
          <reference field="4294967294" count="1" selected="0">
            <x v="0"/>
          </reference>
          <reference field="10" count="1" selected="0">
            <x v="18"/>
          </reference>
        </references>
      </pivotArea>
    </chartFormat>
    <chartFormat chart="0" format="19" series="1">
      <pivotArea type="data" outline="0" fieldPosition="0">
        <references count="2">
          <reference field="4294967294" count="1" selected="0">
            <x v="0"/>
          </reference>
          <reference field="10" count="1" selected="0">
            <x v="19"/>
          </reference>
        </references>
      </pivotArea>
    </chartFormat>
    <chartFormat chart="0" format="20" series="1">
      <pivotArea type="data" outline="0" fieldPosition="0">
        <references count="2">
          <reference field="4294967294" count="1" selected="0">
            <x v="0"/>
          </reference>
          <reference field="10" count="1" selected="0">
            <x v="20"/>
          </reference>
        </references>
      </pivotArea>
    </chartFormat>
    <chartFormat chart="0" format="21" series="1">
      <pivotArea type="data" outline="0" fieldPosition="0">
        <references count="2">
          <reference field="4294967294" count="1" selected="0">
            <x v="0"/>
          </reference>
          <reference field="10" count="1" selected="0">
            <x v="21"/>
          </reference>
        </references>
      </pivotArea>
    </chartFormat>
    <chartFormat chart="0" format="22" series="1">
      <pivotArea type="data" outline="0" fieldPosition="0">
        <references count="2">
          <reference field="4294967294" count="1" selected="0">
            <x v="0"/>
          </reference>
          <reference field="10" count="1" selected="0">
            <x v="22"/>
          </reference>
        </references>
      </pivotArea>
    </chartFormat>
    <chartFormat chart="0" format="23" series="1">
      <pivotArea type="data" outline="0" fieldPosition="0">
        <references count="2">
          <reference field="4294967294" count="1" selected="0">
            <x v="0"/>
          </reference>
          <reference field="10" count="1" selected="0">
            <x v="23"/>
          </reference>
        </references>
      </pivotArea>
    </chartFormat>
    <chartFormat chart="0" format="24" series="1">
      <pivotArea type="data" outline="0" fieldPosition="0">
        <references count="2">
          <reference field="4294967294" count="1" selected="0">
            <x v="0"/>
          </reference>
          <reference field="10" count="1" selected="0">
            <x v="24"/>
          </reference>
        </references>
      </pivotArea>
    </chartFormat>
    <chartFormat chart="0" format="25" series="1">
      <pivotArea type="data" outline="0" fieldPosition="0">
        <references count="2">
          <reference field="4294967294" count="1" selected="0">
            <x v="0"/>
          </reference>
          <reference field="10" count="1" selected="0">
            <x v="25"/>
          </reference>
        </references>
      </pivotArea>
    </chartFormat>
    <chartFormat chart="0" format="26" series="1">
      <pivotArea type="data" outline="0" fieldPosition="0">
        <references count="2">
          <reference field="4294967294" count="1" selected="0">
            <x v="0"/>
          </reference>
          <reference field="10" count="1" selected="0">
            <x v="26"/>
          </reference>
        </references>
      </pivotArea>
    </chartFormat>
    <chartFormat chart="0" format="27" series="1">
      <pivotArea type="data" outline="0" fieldPosition="0">
        <references count="2">
          <reference field="4294967294" count="1" selected="0">
            <x v="0"/>
          </reference>
          <reference field="10" count="1" selected="0">
            <x v="27"/>
          </reference>
        </references>
      </pivotArea>
    </chartFormat>
    <chartFormat chart="0" format="28" series="1">
      <pivotArea type="data" outline="0" fieldPosition="0">
        <references count="2">
          <reference field="4294967294" count="1" selected="0">
            <x v="0"/>
          </reference>
          <reference field="10" count="1" selected="0">
            <x v="28"/>
          </reference>
        </references>
      </pivotArea>
    </chartFormat>
    <chartFormat chart="0" format="29" series="1">
      <pivotArea type="data" outline="0" fieldPosition="0">
        <references count="2">
          <reference field="4294967294" count="1" selected="0">
            <x v="0"/>
          </reference>
          <reference field="10" count="1" selected="0">
            <x v="29"/>
          </reference>
        </references>
      </pivotArea>
    </chartFormat>
    <chartFormat chart="0" format="30" series="1">
      <pivotArea type="data" outline="0" fieldPosition="0">
        <references count="2">
          <reference field="4294967294" count="1" selected="0">
            <x v="0"/>
          </reference>
          <reference field="10" count="1" selected="0">
            <x v="30"/>
          </reference>
        </references>
      </pivotArea>
    </chartFormat>
    <chartFormat chart="0" format="31" series="1">
      <pivotArea type="data" outline="0" fieldPosition="0">
        <references count="2">
          <reference field="4294967294" count="1" selected="0">
            <x v="0"/>
          </reference>
          <reference field="10" count="1" selected="0">
            <x v="31"/>
          </reference>
        </references>
      </pivotArea>
    </chartFormat>
    <chartFormat chart="0" format="32" series="1">
      <pivotArea type="data" outline="0" fieldPosition="0">
        <references count="2">
          <reference field="4294967294" count="1" selected="0">
            <x v="0"/>
          </reference>
          <reference field="10" count="1" selected="0">
            <x v="32"/>
          </reference>
        </references>
      </pivotArea>
    </chartFormat>
    <chartFormat chart="0" format="33" series="1">
      <pivotArea type="data" outline="0" fieldPosition="0">
        <references count="2">
          <reference field="4294967294" count="1" selected="0">
            <x v="0"/>
          </reference>
          <reference field="10" count="1" selected="0">
            <x v="33"/>
          </reference>
        </references>
      </pivotArea>
    </chartFormat>
    <chartFormat chart="0" format="34" series="1">
      <pivotArea type="data" outline="0" fieldPosition="0">
        <references count="2">
          <reference field="4294967294" count="1" selected="0">
            <x v="0"/>
          </reference>
          <reference field="10" count="1" selected="0">
            <x v="34"/>
          </reference>
        </references>
      </pivotArea>
    </chartFormat>
    <chartFormat chart="0" format="35" series="1">
      <pivotArea type="data" outline="0" fieldPosition="0">
        <references count="2">
          <reference field="4294967294" count="1" selected="0">
            <x v="0"/>
          </reference>
          <reference field="10" count="1" selected="0">
            <x v="35"/>
          </reference>
        </references>
      </pivotArea>
    </chartFormat>
    <chartFormat chart="0" format="36" series="1">
      <pivotArea type="data" outline="0" fieldPosition="0">
        <references count="2">
          <reference field="4294967294" count="1" selected="0">
            <x v="0"/>
          </reference>
          <reference field="10" count="1" selected="0">
            <x v="36"/>
          </reference>
        </references>
      </pivotArea>
    </chartFormat>
    <chartFormat chart="0" format="37" series="1">
      <pivotArea type="data" outline="0" fieldPosition="0">
        <references count="2">
          <reference field="4294967294" count="1" selected="0">
            <x v="0"/>
          </reference>
          <reference field="10" count="1" selected="0">
            <x v="37"/>
          </reference>
        </references>
      </pivotArea>
    </chartFormat>
    <chartFormat chart="0" format="38" series="1">
      <pivotArea type="data" outline="0" fieldPosition="0">
        <references count="2">
          <reference field="4294967294" count="1" selected="0">
            <x v="0"/>
          </reference>
          <reference field="10" count="1" selected="0">
            <x v="38"/>
          </reference>
        </references>
      </pivotArea>
    </chartFormat>
    <chartFormat chart="0" format="39" series="1">
      <pivotArea type="data" outline="0" fieldPosition="0">
        <references count="2">
          <reference field="4294967294" count="1" selected="0">
            <x v="0"/>
          </reference>
          <reference field="10" count="1" selected="0">
            <x v="39"/>
          </reference>
        </references>
      </pivotArea>
    </chartFormat>
    <chartFormat chart="0" format="40" series="1">
      <pivotArea type="data" outline="0" fieldPosition="0">
        <references count="2">
          <reference field="4294967294" count="1" selected="0">
            <x v="0"/>
          </reference>
          <reference field="10" count="1" selected="0">
            <x v="40"/>
          </reference>
        </references>
      </pivotArea>
    </chartFormat>
    <chartFormat chart="0" format="41" series="1">
      <pivotArea type="data" outline="0" fieldPosition="0">
        <references count="2">
          <reference field="4294967294" count="1" selected="0">
            <x v="0"/>
          </reference>
          <reference field="10" count="1" selected="0">
            <x v="41"/>
          </reference>
        </references>
      </pivotArea>
    </chartFormat>
    <chartFormat chart="0" format="42" series="1">
      <pivotArea type="data" outline="0" fieldPosition="0">
        <references count="2">
          <reference field="4294967294" count="1" selected="0">
            <x v="0"/>
          </reference>
          <reference field="10" count="1" selected="0">
            <x v="42"/>
          </reference>
        </references>
      </pivotArea>
    </chartFormat>
    <chartFormat chart="0" format="43" series="1">
      <pivotArea type="data" outline="0" fieldPosition="0">
        <references count="2">
          <reference field="4294967294" count="1" selected="0">
            <x v="0"/>
          </reference>
          <reference field="10" count="1" selected="0">
            <x v="43"/>
          </reference>
        </references>
      </pivotArea>
    </chartFormat>
    <chartFormat chart="0" format="44" series="1">
      <pivotArea type="data" outline="0" fieldPosition="0">
        <references count="2">
          <reference field="4294967294" count="1" selected="0">
            <x v="0"/>
          </reference>
          <reference field="10" count="1" selected="0">
            <x v="44"/>
          </reference>
        </references>
      </pivotArea>
    </chartFormat>
    <chartFormat chart="0" format="45" series="1">
      <pivotArea type="data" outline="0" fieldPosition="0">
        <references count="2">
          <reference field="4294967294" count="1" selected="0">
            <x v="0"/>
          </reference>
          <reference field="10" count="1" selected="0">
            <x v="45"/>
          </reference>
        </references>
      </pivotArea>
    </chartFormat>
    <chartFormat chart="0" format="46" series="1">
      <pivotArea type="data" outline="0" fieldPosition="0">
        <references count="2">
          <reference field="4294967294" count="1" selected="0">
            <x v="0"/>
          </reference>
          <reference field="10" count="1" selected="0">
            <x v="46"/>
          </reference>
        </references>
      </pivotArea>
    </chartFormat>
    <chartFormat chart="0" format="47" series="1">
      <pivotArea type="data" outline="0" fieldPosition="0">
        <references count="2">
          <reference field="4294967294" count="1" selected="0">
            <x v="0"/>
          </reference>
          <reference field="10" count="1" selected="0">
            <x v="47"/>
          </reference>
        </references>
      </pivotArea>
    </chartFormat>
    <chartFormat chart="0" format="48" series="1">
      <pivotArea type="data" outline="0" fieldPosition="0">
        <references count="2">
          <reference field="4294967294" count="1" selected="0">
            <x v="0"/>
          </reference>
          <reference field="10" count="1" selected="0">
            <x v="48"/>
          </reference>
        </references>
      </pivotArea>
    </chartFormat>
    <chartFormat chart="0" format="49" series="1">
      <pivotArea type="data" outline="0" fieldPosition="0">
        <references count="2">
          <reference field="4294967294" count="1" selected="0">
            <x v="0"/>
          </reference>
          <reference field="10" count="1" selected="0">
            <x v="49"/>
          </reference>
        </references>
      </pivotArea>
    </chartFormat>
    <chartFormat chart="0" format="50" series="1">
      <pivotArea type="data" outline="0" fieldPosition="0">
        <references count="2">
          <reference field="4294967294" count="1" selected="0">
            <x v="0"/>
          </reference>
          <reference field="10" count="1" selected="0">
            <x v="50"/>
          </reference>
        </references>
      </pivotArea>
    </chartFormat>
    <chartFormat chart="0" format="51" series="1">
      <pivotArea type="data" outline="0" fieldPosition="0">
        <references count="2">
          <reference field="4294967294" count="1" selected="0">
            <x v="0"/>
          </reference>
          <reference field="10" count="1" selected="0">
            <x v="51"/>
          </reference>
        </references>
      </pivotArea>
    </chartFormat>
    <chartFormat chart="0" format="52" series="1">
      <pivotArea type="data" outline="0" fieldPosition="0">
        <references count="2">
          <reference field="4294967294" count="1" selected="0">
            <x v="0"/>
          </reference>
          <reference field="10" count="1" selected="0">
            <x v="52"/>
          </reference>
        </references>
      </pivotArea>
    </chartFormat>
    <chartFormat chart="0" format="53" series="1">
      <pivotArea type="data" outline="0" fieldPosition="0">
        <references count="2">
          <reference field="4294967294" count="1" selected="0">
            <x v="0"/>
          </reference>
          <reference field="10" count="1" selected="0">
            <x v="53"/>
          </reference>
        </references>
      </pivotArea>
    </chartFormat>
    <chartFormat chart="0" format="54" series="1">
      <pivotArea type="data" outline="0" fieldPosition="0">
        <references count="2">
          <reference field="4294967294" count="1" selected="0">
            <x v="0"/>
          </reference>
          <reference field="10" count="1" selected="0">
            <x v="54"/>
          </reference>
        </references>
      </pivotArea>
    </chartFormat>
    <chartFormat chart="0" format="55" series="1">
      <pivotArea type="data" outline="0" fieldPosition="0">
        <references count="2">
          <reference field="4294967294" count="1" selected="0">
            <x v="0"/>
          </reference>
          <reference field="10" count="1" selected="0">
            <x v="55"/>
          </reference>
        </references>
      </pivotArea>
    </chartFormat>
    <chartFormat chart="0" format="56" series="1">
      <pivotArea type="data" outline="0" fieldPosition="0">
        <references count="2">
          <reference field="4294967294" count="1" selected="0">
            <x v="0"/>
          </reference>
          <reference field="10" count="1" selected="0">
            <x v="56"/>
          </reference>
        </references>
      </pivotArea>
    </chartFormat>
    <chartFormat chart="0" format="57" series="1">
      <pivotArea type="data" outline="0" fieldPosition="0">
        <references count="2">
          <reference field="4294967294" count="1" selected="0">
            <x v="0"/>
          </reference>
          <reference field="10" count="1" selected="0">
            <x v="57"/>
          </reference>
        </references>
      </pivotArea>
    </chartFormat>
    <chartFormat chart="0" format="58" series="1">
      <pivotArea type="data" outline="0" fieldPosition="0">
        <references count="2">
          <reference field="4294967294" count="1" selected="0">
            <x v="0"/>
          </reference>
          <reference field="10" count="1" selected="0">
            <x v="58"/>
          </reference>
        </references>
      </pivotArea>
    </chartFormat>
    <chartFormat chart="0" format="59" series="1">
      <pivotArea type="data" outline="0" fieldPosition="0">
        <references count="2">
          <reference field="4294967294" count="1" selected="0">
            <x v="0"/>
          </reference>
          <reference field="10" count="1" selected="0">
            <x v="59"/>
          </reference>
        </references>
      </pivotArea>
    </chartFormat>
    <chartFormat chart="0" format="60" series="1">
      <pivotArea type="data" outline="0" fieldPosition="0">
        <references count="2">
          <reference field="4294967294" count="1" selected="0">
            <x v="0"/>
          </reference>
          <reference field="10" count="1" selected="0">
            <x v="60"/>
          </reference>
        </references>
      </pivotArea>
    </chartFormat>
    <chartFormat chart="0" format="61" series="1">
      <pivotArea type="data" outline="0" fieldPosition="0">
        <references count="2">
          <reference field="4294967294" count="1" selected="0">
            <x v="0"/>
          </reference>
          <reference field="10" count="1" selected="0">
            <x v="6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FBF63E-54D6-4367-932C-BCAC9EEC83BA}" name="TablaDinámica1" cacheId="1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72:B133" firstHeaderRow="1" firstDataRow="1" firstDataCol="1"/>
  <pivotFields count="11">
    <pivotField numFmtId="167" showAll="0"/>
    <pivotField showAll="0"/>
    <pivotField showAll="0"/>
    <pivotField showAll="0"/>
    <pivotField showAll="0"/>
    <pivotField showAll="0"/>
    <pivotField showAll="0"/>
    <pivotField numFmtId="169" showAll="0"/>
    <pivotField numFmtId="169" showAll="0"/>
    <pivotField numFmtId="10" showAll="0"/>
    <pivotField axis="axisRow" dataField="1" showAll="0" sortType="descending">
      <items count="61">
        <item x="0"/>
        <item x="1"/>
        <item x="2"/>
        <item x="3"/>
        <item x="4"/>
        <item x="5"/>
        <item x="6"/>
        <item x="7"/>
        <item x="8"/>
        <item x="9"/>
        <item x="10"/>
        <item x="11"/>
        <item x="12"/>
        <item x="13"/>
        <item x="14"/>
        <item x="15"/>
        <item x="16"/>
        <item x="17"/>
        <item x="18"/>
        <item x="19"/>
        <item x="20"/>
        <item x="21"/>
        <item x="22"/>
        <item x="23"/>
        <item x="24"/>
        <item x="25"/>
        <item x="55"/>
        <item x="26"/>
        <item x="27"/>
        <item x="28"/>
        <item x="29"/>
        <item x="30"/>
        <item x="31"/>
        <item x="56"/>
        <item x="32"/>
        <item x="57"/>
        <item x="58"/>
        <item x="59"/>
        <item x="41"/>
        <item x="42"/>
        <item x="43"/>
        <item x="44"/>
        <item x="45"/>
        <item x="46"/>
        <item x="47"/>
        <item x="48"/>
        <item x="49"/>
        <item x="33"/>
        <item x="50"/>
        <item x="34"/>
        <item x="51"/>
        <item x="35"/>
        <item x="52"/>
        <item x="53"/>
        <item x="36"/>
        <item x="54"/>
        <item x="37"/>
        <item x="38"/>
        <item x="39"/>
        <item x="40"/>
        <item t="default"/>
      </items>
    </pivotField>
  </pivotFields>
  <rowFields count="1">
    <field x="1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uenta de Resultado Adherencia" fld="10" subtotal="count" baseField="10" baseItem="1"/>
  </dataFields>
  <formats count="4">
    <format dxfId="9">
      <pivotArea field="10" type="button" dataOnly="0" labelOnly="1" outline="0" axis="axisRow" fieldPosition="0"/>
    </format>
    <format dxfId="8">
      <pivotArea dataOnly="0" labelOnly="1" fieldPosition="0">
        <references count="1">
          <reference field="10" count="50">
            <x v="0"/>
            <x v="1"/>
            <x v="2"/>
            <x v="3"/>
            <x v="4"/>
            <x v="5"/>
            <x v="6"/>
            <x v="7"/>
            <x v="8"/>
            <x v="9"/>
            <x v="10"/>
            <x v="11"/>
            <x v="12"/>
            <x v="13"/>
            <x v="14"/>
            <x v="15"/>
            <x v="16"/>
            <x v="17"/>
            <x v="18"/>
            <x v="19"/>
            <x v="20"/>
            <x v="21"/>
            <x v="22"/>
            <x v="23"/>
            <x v="24"/>
            <x v="25"/>
            <x v="27"/>
            <x v="28"/>
            <x v="29"/>
            <x v="30"/>
            <x v="31"/>
            <x v="32"/>
            <x v="34"/>
            <x v="38"/>
            <x v="39"/>
            <x v="40"/>
            <x v="41"/>
            <x v="42"/>
            <x v="43"/>
            <x v="44"/>
            <x v="45"/>
            <x v="46"/>
            <x v="47"/>
            <x v="49"/>
            <x v="51"/>
            <x v="54"/>
            <x v="56"/>
            <x v="57"/>
            <x v="58"/>
            <x v="59"/>
          </reference>
        </references>
      </pivotArea>
    </format>
    <format dxfId="7">
      <pivotArea dataOnly="0" labelOnly="1" fieldPosition="0">
        <references count="1">
          <reference field="10" count="10">
            <x v="26"/>
            <x v="33"/>
            <x v="35"/>
            <x v="36"/>
            <x v="37"/>
            <x v="48"/>
            <x v="50"/>
            <x v="52"/>
            <x v="53"/>
            <x v="55"/>
          </reference>
        </references>
      </pivotArea>
    </format>
    <format dxfId="6">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5" dT="2025-11-26T15:51:44.63" personId="{557F0CBA-A008-4094-888C-B9F1C10D89DA}" id="{8826BEA6-F924-4CA0-9106-A0A8E36522E4}">
    <text>VAMOSSSSSSSSSSS</text>
  </threadedComment>
  <threadedComment ref="C35" dT="2025-11-26T15:51:54.74" personId="{557F0CBA-A008-4094-888C-B9F1C10D89DA}" id="{19E30A38-CB38-4ED7-B21D-5EF3A7808376}" parentId="{8826BEA6-F924-4CA0-9106-A0A8E36522E4}">
    <text>10/10</text>
  </threadedComment>
  <threadedComment ref="C35" dT="2025-11-26T15:52:07.75" personId="{557F0CBA-A008-4094-888C-B9F1C10D89DA}" id="{E629F31D-844E-4E6D-B89A-7FD0B484DB62}" parentId="{8826BEA6-F924-4CA0-9106-A0A8E36522E4}">
    <text>HOLA MUNDO</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microsoft.com/office/2017/10/relationships/threadedComment" Target="../threadedComments/threadedComment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6"/>
  <dimension ref="A1"/>
  <sheetViews>
    <sheetView workbookViewId="0"/>
  </sheetViews>
  <sheetFormatPr baseColWidth="10" defaultColWidth="11.44140625" defaultRowHeight="13.2"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I53"/>
  <sheetViews>
    <sheetView showGridLines="0" showRowColHeaders="0" topLeftCell="A27" zoomScale="115" zoomScaleNormal="115" workbookViewId="0">
      <selection activeCell="B39" sqref="B39:F41"/>
    </sheetView>
  </sheetViews>
  <sheetFormatPr baseColWidth="10" defaultColWidth="11.44140625" defaultRowHeight="13.2" zeroHeight="1" x14ac:dyDescent="0.25"/>
  <cols>
    <col min="1" max="1" width="2.6640625" customWidth="1"/>
    <col min="2" max="2" width="4.109375" bestFit="1" customWidth="1"/>
    <col min="3" max="3" width="88.5546875" bestFit="1" customWidth="1"/>
    <col min="4" max="4" width="16.33203125" bestFit="1" customWidth="1"/>
    <col min="5" max="5" width="17.6640625" bestFit="1" customWidth="1"/>
    <col min="6" max="6" width="23.109375" customWidth="1"/>
    <col min="7" max="7" width="2.6640625" style="44" customWidth="1"/>
    <col min="8" max="9" width="11.44140625" style="7"/>
  </cols>
  <sheetData>
    <row r="1" spans="1:9" x14ac:dyDescent="0.25">
      <c r="H1" s="4"/>
      <c r="I1" s="4"/>
    </row>
    <row r="2" spans="1:9" x14ac:dyDescent="0.25">
      <c r="A2" s="1"/>
      <c r="B2" s="24" t="s">
        <v>120</v>
      </c>
      <c r="C2" s="24"/>
      <c r="D2" s="24"/>
      <c r="E2" s="24"/>
      <c r="F2" s="24"/>
      <c r="G2" s="45"/>
      <c r="H2" s="4"/>
      <c r="I2" s="4"/>
    </row>
    <row r="3" spans="1:9" x14ac:dyDescent="0.25">
      <c r="A3" s="1"/>
      <c r="B3" s="24"/>
      <c r="C3" s="24"/>
      <c r="D3" s="24"/>
      <c r="E3" s="24"/>
      <c r="F3" s="24"/>
      <c r="G3" s="45"/>
      <c r="H3" s="21"/>
      <c r="I3" s="21"/>
    </row>
    <row r="4" spans="1:9" x14ac:dyDescent="0.25">
      <c r="A4" s="1"/>
      <c r="B4" s="24"/>
      <c r="C4" s="24"/>
      <c r="D4" s="24"/>
      <c r="E4" s="24"/>
      <c r="F4" s="24"/>
      <c r="G4" s="45"/>
      <c r="H4" s="22"/>
      <c r="I4" s="23"/>
    </row>
    <row r="5" spans="1:9" x14ac:dyDescent="0.25">
      <c r="A5" s="1"/>
      <c r="B5" s="1"/>
      <c r="C5" s="1"/>
      <c r="D5" s="1"/>
      <c r="E5" s="1"/>
      <c r="F5" s="1"/>
      <c r="G5" s="45"/>
      <c r="H5" s="4"/>
      <c r="I5" s="4"/>
    </row>
    <row r="6" spans="1:9" ht="15.6" x14ac:dyDescent="0.25">
      <c r="A6" s="1"/>
      <c r="B6" s="15" t="s">
        <v>125</v>
      </c>
      <c r="C6" s="15"/>
      <c r="D6" s="15"/>
      <c r="E6" s="15"/>
      <c r="F6" s="15"/>
      <c r="G6" s="45"/>
      <c r="H6" s="4"/>
      <c r="I6" s="5"/>
    </row>
    <row r="7" spans="1:9" ht="13.8" x14ac:dyDescent="0.25">
      <c r="A7" s="1"/>
      <c r="B7" s="17" t="s">
        <v>93</v>
      </c>
      <c r="C7" s="17"/>
      <c r="D7" s="8" t="s">
        <v>83</v>
      </c>
      <c r="E7" s="17" t="s">
        <v>113</v>
      </c>
      <c r="F7" s="17"/>
      <c r="G7" s="45"/>
      <c r="H7" s="4"/>
      <c r="I7" s="6"/>
    </row>
    <row r="8" spans="1:9" x14ac:dyDescent="0.25">
      <c r="A8" s="1"/>
      <c r="B8" s="2">
        <v>1</v>
      </c>
      <c r="C8" s="9" t="s">
        <v>99</v>
      </c>
      <c r="D8" s="4" t="s">
        <v>84</v>
      </c>
      <c r="E8" s="25" t="s">
        <v>114</v>
      </c>
      <c r="F8" s="25"/>
      <c r="G8" s="45"/>
      <c r="H8" s="4"/>
    </row>
    <row r="9" spans="1:9" x14ac:dyDescent="0.25">
      <c r="A9" s="1"/>
      <c r="B9" s="2">
        <v>2</v>
      </c>
      <c r="C9" s="9" t="s">
        <v>101</v>
      </c>
      <c r="D9" s="4" t="s">
        <v>85</v>
      </c>
      <c r="E9" s="25" t="s">
        <v>115</v>
      </c>
      <c r="F9" s="25"/>
      <c r="G9" s="45"/>
      <c r="H9" s="4"/>
      <c r="I9"/>
    </row>
    <row r="10" spans="1:9" x14ac:dyDescent="0.25">
      <c r="A10" s="1"/>
      <c r="B10" s="2">
        <v>3</v>
      </c>
      <c r="C10" s="9" t="s">
        <v>86</v>
      </c>
      <c r="D10" s="4" t="s">
        <v>102</v>
      </c>
      <c r="E10" s="25" t="s">
        <v>116</v>
      </c>
      <c r="F10" s="25"/>
      <c r="G10" s="45"/>
      <c r="H10" s="4"/>
      <c r="I10" s="4"/>
    </row>
    <row r="11" spans="1:9" x14ac:dyDescent="0.25">
      <c r="A11" s="1"/>
      <c r="B11" s="2">
        <v>4</v>
      </c>
      <c r="C11" s="9" t="s">
        <v>88</v>
      </c>
      <c r="D11" s="4" t="s">
        <v>102</v>
      </c>
      <c r="E11" s="25" t="s">
        <v>116</v>
      </c>
      <c r="F11" s="25"/>
      <c r="G11" s="45"/>
      <c r="H11" s="4"/>
      <c r="I11" s="4"/>
    </row>
    <row r="12" spans="1:9" x14ac:dyDescent="0.25">
      <c r="A12" s="1"/>
      <c r="B12" s="2">
        <v>5</v>
      </c>
      <c r="C12" s="9" t="s">
        <v>87</v>
      </c>
      <c r="D12" s="4" t="s">
        <v>102</v>
      </c>
      <c r="E12" s="25" t="s">
        <v>116</v>
      </c>
      <c r="F12" s="25"/>
      <c r="G12" s="45"/>
      <c r="H12" s="4"/>
      <c r="I12" s="4"/>
    </row>
    <row r="13" spans="1:9" x14ac:dyDescent="0.25">
      <c r="A13" s="1"/>
      <c r="B13" s="2">
        <v>6</v>
      </c>
      <c r="C13" s="9" t="s">
        <v>89</v>
      </c>
      <c r="D13" s="4" t="s">
        <v>102</v>
      </c>
      <c r="E13" s="25" t="s">
        <v>116</v>
      </c>
      <c r="F13" s="25"/>
      <c r="G13" s="45"/>
      <c r="H13" s="4"/>
      <c r="I13" s="4"/>
    </row>
    <row r="14" spans="1:9" ht="26.4" x14ac:dyDescent="0.25">
      <c r="A14" s="1"/>
      <c r="B14" s="2">
        <v>7</v>
      </c>
      <c r="C14" s="9" t="s">
        <v>118</v>
      </c>
      <c r="D14" s="4" t="s">
        <v>102</v>
      </c>
      <c r="E14" s="25" t="s">
        <v>196</v>
      </c>
      <c r="F14" s="25"/>
      <c r="G14" s="45"/>
      <c r="H14" s="4"/>
      <c r="I14" s="4"/>
    </row>
    <row r="15" spans="1:9" x14ac:dyDescent="0.25">
      <c r="A15" s="1"/>
      <c r="B15" s="2">
        <v>8</v>
      </c>
      <c r="C15" s="9" t="s">
        <v>98</v>
      </c>
      <c r="D15" s="4" t="s">
        <v>102</v>
      </c>
      <c r="E15" s="25" t="s">
        <v>116</v>
      </c>
      <c r="F15" s="25"/>
      <c r="G15" s="45"/>
      <c r="H15" s="4"/>
      <c r="I15" s="4"/>
    </row>
    <row r="16" spans="1:9" x14ac:dyDescent="0.25">
      <c r="A16" s="1"/>
      <c r="B16" s="2">
        <v>9</v>
      </c>
      <c r="C16" s="9" t="s">
        <v>90</v>
      </c>
      <c r="D16" s="4" t="s">
        <v>102</v>
      </c>
      <c r="E16" s="25" t="s">
        <v>116</v>
      </c>
      <c r="F16" s="25"/>
      <c r="G16" s="45"/>
      <c r="H16" s="4"/>
      <c r="I16" s="4"/>
    </row>
    <row r="17" spans="1:9" x14ac:dyDescent="0.25">
      <c r="A17" s="1"/>
      <c r="B17" s="2">
        <v>10</v>
      </c>
      <c r="C17" s="9" t="s">
        <v>95</v>
      </c>
      <c r="D17" s="4" t="s">
        <v>102</v>
      </c>
      <c r="E17" s="25" t="s">
        <v>116</v>
      </c>
      <c r="F17" s="25"/>
      <c r="G17" s="45"/>
      <c r="H17" s="4"/>
      <c r="I17" s="4"/>
    </row>
    <row r="18" spans="1:9" ht="39.6" x14ac:dyDescent="0.25">
      <c r="A18" s="1"/>
      <c r="B18" s="2">
        <v>11</v>
      </c>
      <c r="C18" s="9" t="s">
        <v>121</v>
      </c>
      <c r="D18" s="4" t="s">
        <v>102</v>
      </c>
      <c r="E18" s="25" t="s">
        <v>116</v>
      </c>
      <c r="F18" s="25"/>
      <c r="G18" s="45"/>
      <c r="H18" s="4"/>
      <c r="I18" s="4"/>
    </row>
    <row r="19" spans="1:9" x14ac:dyDescent="0.25">
      <c r="A19" s="1"/>
      <c r="B19" s="2">
        <v>12</v>
      </c>
      <c r="C19" s="9" t="s">
        <v>127</v>
      </c>
      <c r="D19" s="4" t="s">
        <v>91</v>
      </c>
      <c r="E19" s="25" t="s">
        <v>116</v>
      </c>
      <c r="F19" s="25"/>
      <c r="G19" s="45"/>
      <c r="H19" s="4"/>
      <c r="I19" s="4"/>
    </row>
    <row r="20" spans="1:9" x14ac:dyDescent="0.25">
      <c r="A20" s="1"/>
      <c r="B20" s="1"/>
      <c r="C20" s="1"/>
      <c r="D20" s="1"/>
      <c r="E20" s="1"/>
      <c r="F20" s="1"/>
      <c r="G20" s="45"/>
      <c r="H20" s="4"/>
      <c r="I20" s="4"/>
    </row>
    <row r="21" spans="1:9" ht="15.6" x14ac:dyDescent="0.25">
      <c r="A21" s="1"/>
      <c r="B21" s="15" t="s">
        <v>126</v>
      </c>
      <c r="C21" s="15"/>
      <c r="D21" s="15"/>
      <c r="E21" s="15"/>
      <c r="F21" s="15"/>
      <c r="G21" s="45"/>
      <c r="H21" s="4"/>
      <c r="I21" s="5"/>
    </row>
    <row r="22" spans="1:9" ht="13.8" x14ac:dyDescent="0.25">
      <c r="A22" s="1"/>
      <c r="B22" s="17" t="s">
        <v>91</v>
      </c>
      <c r="C22" s="17"/>
      <c r="D22" s="8" t="s">
        <v>83</v>
      </c>
      <c r="E22" s="17" t="s">
        <v>92</v>
      </c>
      <c r="F22" s="17"/>
      <c r="G22" s="45"/>
      <c r="H22" s="4"/>
      <c r="I22" s="6"/>
    </row>
    <row r="23" spans="1:9" x14ac:dyDescent="0.25">
      <c r="A23" s="1"/>
      <c r="B23" s="2">
        <v>1</v>
      </c>
      <c r="C23" s="9" t="s">
        <v>94</v>
      </c>
      <c r="D23" s="10" t="s">
        <v>112</v>
      </c>
      <c r="E23" s="18">
        <f ca="1">TODAY()</f>
        <v>45987</v>
      </c>
      <c r="F23" s="18"/>
      <c r="G23" s="47" t="s">
        <v>198</v>
      </c>
      <c r="H23" s="47"/>
    </row>
    <row r="24" spans="1:9" ht="26.4" x14ac:dyDescent="0.25">
      <c r="A24" s="1"/>
      <c r="B24" s="2">
        <v>2</v>
      </c>
      <c r="C24" s="9" t="s">
        <v>104</v>
      </c>
      <c r="D24" s="10" t="s">
        <v>112</v>
      </c>
      <c r="E24" s="20">
        <f>COUNTIF(base!H:H,"16:303:00")</f>
        <v>0</v>
      </c>
      <c r="F24" s="20"/>
      <c r="G24" s="45" t="s">
        <v>206</v>
      </c>
      <c r="H24" s="4"/>
      <c r="I24"/>
    </row>
    <row r="25" spans="1:9" s="3" customFormat="1" ht="26.4" x14ac:dyDescent="0.25">
      <c r="A25" s="2"/>
      <c r="B25" s="2">
        <v>3</v>
      </c>
      <c r="C25" s="9" t="s">
        <v>119</v>
      </c>
      <c r="D25" s="10" t="s">
        <v>112</v>
      </c>
      <c r="E25" s="49">
        <f>COUNTA(base!F2,base!F3,base!F13,base!F14,)</f>
        <v>5</v>
      </c>
      <c r="F25" s="49"/>
      <c r="G25" s="46" t="s">
        <v>205</v>
      </c>
      <c r="H25" s="4"/>
      <c r="I25" s="4"/>
    </row>
    <row r="26" spans="1:9" ht="26.4" x14ac:dyDescent="0.25">
      <c r="A26" s="1"/>
      <c r="B26" s="2">
        <v>4</v>
      </c>
      <c r="C26" s="9" t="s">
        <v>132</v>
      </c>
      <c r="D26" s="10" t="s">
        <v>112</v>
      </c>
      <c r="E26" s="11" t="str">
        <f>_xlfn.XLOOKUP(base!E26,base!E:E,base!C:C,"NO ENCONTRADO",0)</f>
        <v>Eder Garza</v>
      </c>
      <c r="F26" s="12"/>
      <c r="G26" s="45" t="s">
        <v>199</v>
      </c>
      <c r="H26" s="4"/>
      <c r="I26" s="4"/>
    </row>
    <row r="27" spans="1:9" x14ac:dyDescent="0.25">
      <c r="A27" s="1"/>
      <c r="B27" s="2">
        <v>5</v>
      </c>
      <c r="C27" s="9" t="s">
        <v>133</v>
      </c>
      <c r="D27" s="10" t="s">
        <v>112</v>
      </c>
      <c r="E27" s="20" t="str">
        <f>base!E23&amp;base!F23</f>
        <v>TLGWMVazquez, Jose</v>
      </c>
      <c r="F27" s="16"/>
      <c r="G27" s="45" t="s">
        <v>200</v>
      </c>
      <c r="H27" s="4"/>
      <c r="I27" s="4"/>
    </row>
    <row r="28" spans="1:9" ht="26.4" x14ac:dyDescent="0.25">
      <c r="A28" s="1"/>
      <c r="B28" s="2">
        <v>6</v>
      </c>
      <c r="C28" s="9" t="s">
        <v>131</v>
      </c>
      <c r="D28" s="10" t="s">
        <v>112</v>
      </c>
      <c r="E28" s="19">
        <f>COUNTIF(base!G:G,1)</f>
        <v>60</v>
      </c>
      <c r="F28" s="19"/>
      <c r="G28" s="45" t="s">
        <v>201</v>
      </c>
      <c r="H28" s="4"/>
      <c r="I28" s="4"/>
    </row>
    <row r="29" spans="1:9" x14ac:dyDescent="0.25">
      <c r="A29" s="1"/>
      <c r="B29" s="2">
        <v>7</v>
      </c>
      <c r="C29" s="9" t="s">
        <v>106</v>
      </c>
      <c r="D29" s="10" t="s">
        <v>112</v>
      </c>
      <c r="E29" s="16">
        <f>COUNTA(base!F:F)</f>
        <v>143</v>
      </c>
      <c r="F29" s="16"/>
      <c r="G29" s="45" t="s">
        <v>202</v>
      </c>
      <c r="H29" s="4"/>
      <c r="I29" s="4"/>
    </row>
    <row r="30" spans="1:9" x14ac:dyDescent="0.25">
      <c r="A30" s="1"/>
      <c r="B30" s="2">
        <v>8</v>
      </c>
      <c r="C30" s="9" t="s">
        <v>122</v>
      </c>
      <c r="D30" s="10" t="s">
        <v>112</v>
      </c>
      <c r="E30" s="20" t="str">
        <f>UPPER(base!C40)</f>
        <v>ANGEL PUENTE</v>
      </c>
      <c r="F30" s="16"/>
      <c r="G30" s="45" t="s">
        <v>203</v>
      </c>
      <c r="H30" s="4"/>
      <c r="I30" s="4"/>
    </row>
    <row r="31" spans="1:9" x14ac:dyDescent="0.25">
      <c r="A31" s="1"/>
      <c r="B31" s="2">
        <v>9</v>
      </c>
      <c r="C31" s="13" t="s">
        <v>107</v>
      </c>
      <c r="D31" s="10" t="s">
        <v>112</v>
      </c>
      <c r="E31" s="19">
        <v>5</v>
      </c>
      <c r="F31" s="19"/>
      <c r="G31" s="45"/>
      <c r="H31" s="4"/>
      <c r="I31" s="4"/>
    </row>
    <row r="32" spans="1:9" x14ac:dyDescent="0.25">
      <c r="A32" s="1"/>
      <c r="B32" s="2">
        <v>10</v>
      </c>
      <c r="C32" s="13" t="s">
        <v>130</v>
      </c>
      <c r="D32" s="10" t="s">
        <v>112</v>
      </c>
      <c r="E32" s="20"/>
      <c r="F32" s="16"/>
      <c r="G32" s="45"/>
      <c r="H32" s="4"/>
      <c r="I32" s="4"/>
    </row>
    <row r="33" spans="1:9" x14ac:dyDescent="0.25">
      <c r="A33" s="1"/>
      <c r="B33" s="1"/>
      <c r="C33" s="1"/>
      <c r="D33" s="1"/>
      <c r="E33" s="1"/>
      <c r="F33" s="1"/>
      <c r="G33" s="45"/>
      <c r="H33" s="4"/>
      <c r="I33" s="4"/>
    </row>
    <row r="34" spans="1:9" ht="15.6" x14ac:dyDescent="0.25">
      <c r="A34" s="1"/>
      <c r="B34" s="15" t="s">
        <v>123</v>
      </c>
      <c r="C34" s="15"/>
      <c r="D34" s="15"/>
      <c r="E34" s="15"/>
      <c r="F34" s="15"/>
      <c r="G34" s="45"/>
      <c r="H34" s="4"/>
      <c r="I34" s="5"/>
    </row>
    <row r="35" spans="1:9" ht="13.8" x14ac:dyDescent="0.25">
      <c r="A35" s="1"/>
      <c r="B35" s="17" t="s">
        <v>93</v>
      </c>
      <c r="C35" s="17"/>
      <c r="D35" s="8" t="s">
        <v>83</v>
      </c>
      <c r="E35" s="17" t="s">
        <v>113</v>
      </c>
      <c r="F35" s="17"/>
      <c r="G35" s="45"/>
      <c r="H35" s="4"/>
      <c r="I35" s="6"/>
    </row>
    <row r="36" spans="1:9" ht="52.8" x14ac:dyDescent="0.25">
      <c r="A36" s="1"/>
      <c r="B36" s="2">
        <v>1</v>
      </c>
      <c r="C36" s="9" t="s">
        <v>117</v>
      </c>
      <c r="D36" s="4" t="s">
        <v>100</v>
      </c>
      <c r="E36" s="16" t="s">
        <v>129</v>
      </c>
      <c r="F36" s="16"/>
      <c r="G36" s="45"/>
      <c r="H36" s="4"/>
    </row>
    <row r="37" spans="1:9" x14ac:dyDescent="0.25">
      <c r="A37" s="1"/>
      <c r="B37" s="2">
        <v>2</v>
      </c>
      <c r="C37" s="13" t="s">
        <v>97</v>
      </c>
      <c r="D37" s="4" t="s">
        <v>96</v>
      </c>
      <c r="E37" s="16" t="s">
        <v>129</v>
      </c>
      <c r="F37" s="16"/>
      <c r="G37" s="45"/>
      <c r="H37" s="4"/>
      <c r="I37"/>
    </row>
    <row r="38" spans="1:9" x14ac:dyDescent="0.25">
      <c r="A38" s="1"/>
      <c r="B38" s="1"/>
      <c r="C38" s="1"/>
      <c r="D38" s="1"/>
      <c r="E38" s="1"/>
      <c r="F38" s="1"/>
      <c r="G38" s="45"/>
      <c r="H38" s="4"/>
      <c r="I38" s="4"/>
    </row>
    <row r="39" spans="1:9" ht="15.6" x14ac:dyDescent="0.25">
      <c r="A39" s="1"/>
      <c r="B39" s="15" t="s">
        <v>124</v>
      </c>
      <c r="C39" s="15"/>
      <c r="D39" s="15"/>
      <c r="E39" s="15"/>
      <c r="F39" s="15"/>
      <c r="G39" s="45"/>
      <c r="H39" s="4"/>
      <c r="I39" s="5"/>
    </row>
    <row r="40" spans="1:9" ht="13.8" x14ac:dyDescent="0.25">
      <c r="A40" s="1"/>
      <c r="B40" s="17" t="s">
        <v>93</v>
      </c>
      <c r="C40" s="17"/>
      <c r="D40" s="8" t="s">
        <v>83</v>
      </c>
      <c r="E40" s="17" t="s">
        <v>113</v>
      </c>
      <c r="F40" s="17"/>
      <c r="G40" s="45"/>
      <c r="H40" s="4"/>
      <c r="I40" s="6"/>
    </row>
    <row r="41" spans="1:9" ht="52.8" x14ac:dyDescent="0.25">
      <c r="A41" s="1"/>
      <c r="B41" s="2">
        <v>1</v>
      </c>
      <c r="C41" s="13" t="s">
        <v>111</v>
      </c>
      <c r="D41" s="14" t="s">
        <v>134</v>
      </c>
      <c r="E41" s="16" t="s">
        <v>129</v>
      </c>
      <c r="F41" s="16"/>
      <c r="G41" s="45"/>
      <c r="H41" s="4"/>
    </row>
    <row r="42" spans="1:9" s="1" customFormat="1" x14ac:dyDescent="0.25">
      <c r="G42" s="45"/>
      <c r="H42" s="7"/>
      <c r="I42" s="7"/>
    </row>
    <row r="43" spans="1:9" s="1" customFormat="1" hidden="1" x14ac:dyDescent="0.25">
      <c r="G43" s="45"/>
      <c r="H43" s="7"/>
      <c r="I43" s="7"/>
    </row>
    <row r="44" spans="1:9" s="1" customFormat="1" hidden="1" x14ac:dyDescent="0.25">
      <c r="G44" s="45"/>
      <c r="H44" s="7"/>
      <c r="I44" s="7"/>
    </row>
    <row r="45" spans="1:9" s="1" customFormat="1" hidden="1" x14ac:dyDescent="0.25">
      <c r="G45" s="45"/>
      <c r="H45" s="7"/>
      <c r="I45" s="7"/>
    </row>
    <row r="46" spans="1:9" s="1" customFormat="1" hidden="1" x14ac:dyDescent="0.25">
      <c r="G46" s="45"/>
      <c r="H46" s="7"/>
      <c r="I46" s="7"/>
    </row>
    <row r="47" spans="1:9" s="1" customFormat="1" hidden="1" x14ac:dyDescent="0.25">
      <c r="G47" s="45"/>
      <c r="H47" s="7"/>
      <c r="I47" s="7"/>
    </row>
    <row r="48" spans="1:9" s="1" customFormat="1" hidden="1" x14ac:dyDescent="0.25">
      <c r="G48" s="45"/>
      <c r="H48" s="7"/>
      <c r="I48" s="7"/>
    </row>
    <row r="49" spans="7:9" s="1" customFormat="1" hidden="1" x14ac:dyDescent="0.25">
      <c r="G49" s="45"/>
      <c r="H49" s="7"/>
      <c r="I49" s="7"/>
    </row>
    <row r="50" spans="7:9" s="1" customFormat="1" hidden="1" x14ac:dyDescent="0.25">
      <c r="G50" s="45"/>
      <c r="H50" s="7"/>
      <c r="I50" s="7"/>
    </row>
    <row r="51" spans="7:9" s="1" customFormat="1" hidden="1" x14ac:dyDescent="0.25">
      <c r="G51" s="45"/>
      <c r="H51" s="7"/>
      <c r="I51" s="7"/>
    </row>
    <row r="52" spans="7:9" s="1" customFormat="1" hidden="1" x14ac:dyDescent="0.25">
      <c r="G52" s="45"/>
      <c r="H52" s="7"/>
      <c r="I52" s="7"/>
    </row>
    <row r="53" spans="7:9" s="1" customFormat="1" hidden="1" x14ac:dyDescent="0.25">
      <c r="G53" s="45"/>
      <c r="H53" s="7"/>
      <c r="I53" s="7"/>
    </row>
  </sheetData>
  <sheetProtection selectLockedCells="1"/>
  <mergeCells count="40">
    <mergeCell ref="G23:H23"/>
    <mergeCell ref="H3:I3"/>
    <mergeCell ref="H4:I4"/>
    <mergeCell ref="E30:F30"/>
    <mergeCell ref="E31:F31"/>
    <mergeCell ref="E32:F32"/>
    <mergeCell ref="E13:F13"/>
    <mergeCell ref="E15:F15"/>
    <mergeCell ref="E16:F16"/>
    <mergeCell ref="E17:F17"/>
    <mergeCell ref="E18:F18"/>
    <mergeCell ref="E8:F8"/>
    <mergeCell ref="E9:F9"/>
    <mergeCell ref="E10:F10"/>
    <mergeCell ref="E11:F11"/>
    <mergeCell ref="E12:F12"/>
    <mergeCell ref="B2:F4"/>
    <mergeCell ref="E22:F22"/>
    <mergeCell ref="E24:F24"/>
    <mergeCell ref="E27:F27"/>
    <mergeCell ref="E7:F7"/>
    <mergeCell ref="E19:F19"/>
    <mergeCell ref="E14:F14"/>
    <mergeCell ref="E25:F25"/>
    <mergeCell ref="B6:F6"/>
    <mergeCell ref="E41:F41"/>
    <mergeCell ref="E40:F40"/>
    <mergeCell ref="B34:F34"/>
    <mergeCell ref="B39:F39"/>
    <mergeCell ref="E36:F36"/>
    <mergeCell ref="E37:F37"/>
    <mergeCell ref="B40:C40"/>
    <mergeCell ref="B35:C35"/>
    <mergeCell ref="E35:F35"/>
    <mergeCell ref="E29:F29"/>
    <mergeCell ref="B7:C7"/>
    <mergeCell ref="B22:C22"/>
    <mergeCell ref="B21:F21"/>
    <mergeCell ref="E23:F23"/>
    <mergeCell ref="E28:F28"/>
  </mergeCells>
  <dataValidations count="1">
    <dataValidation type="whole" allowBlank="1" showInputMessage="1" showErrorMessage="1" errorTitle="INGRESAR SOLO DEL 1 AL 5" promptTitle="INGRESAR DEL 1 AL 5" sqref="E31:F31" xr:uid="{3BD14C04-25B3-4F1D-90A1-4A7C85523ED7}">
      <formula1>1</formula1>
      <formula2>5</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A808C50-1C10-4CF0-BBFF-9BF963AAF539}">
          <x14:formula1>
            <xm:f>base!$B$21:$B$29</xm:f>
          </x14:formula1>
          <xm:sqref>E32:F32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W389"/>
  <sheetViews>
    <sheetView tabSelected="1" topLeftCell="A142" workbookViewId="0">
      <selection activeCell="A140" sqref="A140:BN220"/>
    </sheetView>
  </sheetViews>
  <sheetFormatPr baseColWidth="10" defaultColWidth="17.5546875" defaultRowHeight="13.2" x14ac:dyDescent="0.25"/>
  <cols>
    <col min="1" max="1" width="29.88671875" style="38" bestFit="1" customWidth="1"/>
    <col min="2" max="2" width="15.109375" style="36" bestFit="1" customWidth="1"/>
    <col min="3" max="3" width="17.6640625" style="36" bestFit="1" customWidth="1"/>
    <col min="4" max="7" width="7.33203125" style="36" bestFit="1" customWidth="1"/>
    <col min="8" max="9" width="7.33203125" style="39" bestFit="1" customWidth="1"/>
    <col min="10" max="10" width="7.33203125" style="60" bestFit="1" customWidth="1"/>
    <col min="11" max="11" width="7.33203125" style="53" bestFit="1" customWidth="1"/>
    <col min="12" max="13" width="7.33203125" style="36" bestFit="1" customWidth="1"/>
    <col min="14" max="14" width="7.33203125" style="37" bestFit="1" customWidth="1"/>
    <col min="15" max="65" width="7.33203125" style="36" bestFit="1" customWidth="1"/>
    <col min="66" max="66" width="12.33203125" style="36" bestFit="1" customWidth="1"/>
    <col min="67" max="67" width="11.33203125" style="36" bestFit="1" customWidth="1"/>
    <col min="68" max="68" width="12.21875" style="36" bestFit="1" customWidth="1"/>
    <col min="69" max="69" width="11.33203125" style="36" bestFit="1" customWidth="1"/>
    <col min="70" max="70" width="12.21875" style="36" bestFit="1" customWidth="1"/>
    <col min="71" max="71" width="11.33203125" style="36" bestFit="1" customWidth="1"/>
    <col min="72" max="72" width="12.21875" style="36" bestFit="1" customWidth="1"/>
    <col min="73" max="73" width="14" style="36" bestFit="1" customWidth="1"/>
    <col min="74" max="74" width="12.21875" style="36" bestFit="1" customWidth="1"/>
    <col min="75" max="75" width="11.33203125" style="36" bestFit="1" customWidth="1"/>
    <col min="76" max="76" width="12.21875" style="36" bestFit="1" customWidth="1"/>
    <col min="77" max="77" width="11.33203125" style="36" bestFit="1" customWidth="1"/>
    <col min="78" max="78" width="12.21875" style="36" bestFit="1" customWidth="1"/>
    <col min="79" max="79" width="11.33203125" style="36" bestFit="1" customWidth="1"/>
    <col min="80" max="80" width="12.21875" style="36" bestFit="1" customWidth="1"/>
    <col min="81" max="81" width="11.33203125" style="36" bestFit="1" customWidth="1"/>
    <col min="82" max="82" width="12.21875" style="36" bestFit="1" customWidth="1"/>
    <col min="83" max="83" width="11.33203125" style="36" bestFit="1" customWidth="1"/>
    <col min="84" max="84" width="12.21875" style="36" bestFit="1" customWidth="1"/>
    <col min="85" max="85" width="12" style="36" bestFit="1" customWidth="1"/>
    <col min="86" max="86" width="12.21875" style="36" bestFit="1" customWidth="1"/>
    <col min="87" max="87" width="12" style="36" bestFit="1" customWidth="1"/>
    <col min="88" max="88" width="12.21875" style="36" bestFit="1" customWidth="1"/>
    <col min="89" max="89" width="12" style="36" bestFit="1" customWidth="1"/>
    <col min="90" max="90" width="12.21875" style="36" bestFit="1" customWidth="1"/>
    <col min="91" max="91" width="12" style="36" bestFit="1" customWidth="1"/>
    <col min="92" max="92" width="12.21875" style="36" bestFit="1" customWidth="1"/>
    <col min="93" max="93" width="12" style="36" bestFit="1" customWidth="1"/>
    <col min="94" max="94" width="12.21875" style="36" bestFit="1" customWidth="1"/>
    <col min="95" max="95" width="12.44140625" style="36" bestFit="1" customWidth="1"/>
    <col min="96" max="96" width="12.21875" style="36" bestFit="1" customWidth="1"/>
    <col min="97" max="97" width="12.44140625" style="36" bestFit="1" customWidth="1"/>
    <col min="98" max="98" width="12.21875" style="36" bestFit="1" customWidth="1"/>
    <col min="99" max="99" width="12.44140625" style="36" bestFit="1" customWidth="1"/>
    <col min="100" max="100" width="12.21875" style="36" bestFit="1" customWidth="1"/>
    <col min="101" max="101" width="12.44140625" style="36" bestFit="1" customWidth="1"/>
    <col min="102" max="102" width="12.21875" style="36" bestFit="1" customWidth="1"/>
    <col min="103" max="103" width="12.44140625" style="36" bestFit="1" customWidth="1"/>
    <col min="104" max="104" width="12.21875" style="36" bestFit="1" customWidth="1"/>
    <col min="105" max="105" width="10.88671875" style="36" bestFit="1" customWidth="1"/>
    <col min="106" max="106" width="12.21875" style="36" bestFit="1" customWidth="1"/>
    <col min="107" max="107" width="10.88671875" style="36" bestFit="1" customWidth="1"/>
    <col min="108" max="108" width="12.21875" style="36" bestFit="1" customWidth="1"/>
    <col min="109" max="109" width="10.88671875" style="36" bestFit="1" customWidth="1"/>
    <col min="110" max="110" width="12.21875" style="36" bestFit="1" customWidth="1"/>
    <col min="111" max="111" width="10.88671875" style="36" bestFit="1" customWidth="1"/>
    <col min="112" max="112" width="12.21875" style="36" bestFit="1" customWidth="1"/>
    <col min="113" max="113" width="10.88671875" style="36" bestFit="1" customWidth="1"/>
    <col min="114" max="114" width="12.21875" style="36" bestFit="1" customWidth="1"/>
    <col min="115" max="115" width="10.88671875" style="36" bestFit="1" customWidth="1"/>
    <col min="116" max="116" width="12.21875" style="36" bestFit="1" customWidth="1"/>
    <col min="117" max="117" width="10.88671875" style="36" bestFit="1" customWidth="1"/>
    <col min="118" max="118" width="12.21875" style="36" bestFit="1" customWidth="1"/>
    <col min="119" max="119" width="10.88671875" style="36" bestFit="1" customWidth="1"/>
    <col min="120" max="120" width="12.21875" style="36" bestFit="1" customWidth="1"/>
    <col min="121" max="121" width="10.88671875" style="36" bestFit="1" customWidth="1"/>
    <col min="122" max="122" width="12.21875" style="36" bestFit="1" customWidth="1"/>
    <col min="123" max="123" width="10.88671875" style="36" bestFit="1" customWidth="1"/>
    <col min="124" max="124" width="12.21875" style="36" bestFit="1" customWidth="1"/>
    <col min="125" max="125" width="10.88671875" style="36" bestFit="1" customWidth="1"/>
    <col min="126" max="126" width="12.21875" style="36" bestFit="1" customWidth="1"/>
    <col min="127" max="127" width="12.33203125" style="36" bestFit="1" customWidth="1"/>
    <col min="128" max="16384" width="17.5546875" style="36"/>
  </cols>
  <sheetData>
    <row r="1" spans="1:14" ht="39.6" x14ac:dyDescent="0.25">
      <c r="A1" s="40" t="s">
        <v>0</v>
      </c>
      <c r="B1" s="41" t="s">
        <v>109</v>
      </c>
      <c r="C1" s="41" t="s">
        <v>110</v>
      </c>
      <c r="D1" s="41" t="s">
        <v>1</v>
      </c>
      <c r="E1" s="41" t="s">
        <v>2</v>
      </c>
      <c r="F1" s="41" t="s">
        <v>3</v>
      </c>
      <c r="G1" s="41" t="s">
        <v>103</v>
      </c>
      <c r="H1" s="42" t="s">
        <v>105</v>
      </c>
      <c r="I1" s="42" t="s">
        <v>108</v>
      </c>
      <c r="J1" s="43" t="s">
        <v>4</v>
      </c>
      <c r="K1" s="52" t="s">
        <v>128</v>
      </c>
      <c r="L1" s="36" t="s">
        <v>197</v>
      </c>
      <c r="N1" s="36" t="s">
        <v>204</v>
      </c>
    </row>
    <row r="2" spans="1:14" x14ac:dyDescent="0.25">
      <c r="A2" s="31">
        <v>40622</v>
      </c>
      <c r="B2" s="26" t="s">
        <v>64</v>
      </c>
      <c r="C2" s="26" t="s">
        <v>65</v>
      </c>
      <c r="D2" s="26" t="s">
        <v>140</v>
      </c>
      <c r="E2" s="26" t="s">
        <v>9</v>
      </c>
      <c r="F2" s="26" t="s">
        <v>72</v>
      </c>
      <c r="G2" s="26">
        <v>1</v>
      </c>
      <c r="H2" s="33">
        <v>2.6875</v>
      </c>
      <c r="I2" s="33">
        <v>2.6743055555555602</v>
      </c>
      <c r="J2" s="29">
        <v>0.96274509803921626</v>
      </c>
      <c r="K2" s="27">
        <v>0.99509043927648755</v>
      </c>
      <c r="L2" s="36">
        <f>COUNTIF(F:F,F2)</f>
        <v>1</v>
      </c>
      <c r="M2" s="48"/>
      <c r="N2" s="36">
        <f>IF(H2&lt;&gt;"16:00:00",1,0)</f>
        <v>1</v>
      </c>
    </row>
    <row r="3" spans="1:14" x14ac:dyDescent="0.25">
      <c r="A3" s="31">
        <v>40621</v>
      </c>
      <c r="B3" s="26" t="s">
        <v>64</v>
      </c>
      <c r="C3" s="26" t="s">
        <v>65</v>
      </c>
      <c r="D3" s="26" t="s">
        <v>141</v>
      </c>
      <c r="E3" s="26" t="s">
        <v>9</v>
      </c>
      <c r="F3" s="26" t="s">
        <v>71</v>
      </c>
      <c r="G3" s="26">
        <v>1</v>
      </c>
      <c r="H3" s="33">
        <v>2.6458333333333299</v>
      </c>
      <c r="I3" s="33">
        <v>2.6326388888888901</v>
      </c>
      <c r="J3" s="29">
        <v>0.96274509803921626</v>
      </c>
      <c r="K3" s="27">
        <v>0.99501312335958181</v>
      </c>
      <c r="L3" s="36">
        <f>COUNTIF(F:F,F3)</f>
        <v>1</v>
      </c>
      <c r="N3" s="36">
        <f t="shared" ref="N3:N63" si="0">IF(H3&lt;&gt;"16:00:00",1,0)</f>
        <v>1</v>
      </c>
    </row>
    <row r="4" spans="1:14" x14ac:dyDescent="0.25">
      <c r="A4" s="31">
        <v>40620</v>
      </c>
      <c r="B4" s="26" t="s">
        <v>64</v>
      </c>
      <c r="C4" s="26" t="s">
        <v>65</v>
      </c>
      <c r="D4" s="26" t="s">
        <v>142</v>
      </c>
      <c r="E4" s="26" t="s">
        <v>9</v>
      </c>
      <c r="F4" s="26" t="s">
        <v>70</v>
      </c>
      <c r="G4" s="26">
        <v>1</v>
      </c>
      <c r="H4" s="33">
        <v>2.6041666666666599</v>
      </c>
      <c r="I4" s="33">
        <v>2.59097222222222</v>
      </c>
      <c r="J4" s="29">
        <v>0.96274509803921626</v>
      </c>
      <c r="K4" s="27">
        <v>0.99493333333333511</v>
      </c>
      <c r="L4" s="36">
        <f>COUNTIF(F:F,F4)</f>
        <v>1</v>
      </c>
      <c r="N4" s="36">
        <f t="shared" si="0"/>
        <v>1</v>
      </c>
    </row>
    <row r="5" spans="1:14" x14ac:dyDescent="0.25">
      <c r="A5" s="31">
        <v>40619</v>
      </c>
      <c r="B5" s="26" t="s">
        <v>64</v>
      </c>
      <c r="C5" s="26" t="s">
        <v>65</v>
      </c>
      <c r="D5" s="26" t="s">
        <v>143</v>
      </c>
      <c r="E5" s="26" t="s">
        <v>7</v>
      </c>
      <c r="F5" s="26" t="s">
        <v>76</v>
      </c>
      <c r="G5" s="26">
        <v>1</v>
      </c>
      <c r="H5" s="33">
        <v>2.5625</v>
      </c>
      <c r="I5" s="33">
        <v>2.5493055555555602</v>
      </c>
      <c r="J5" s="29">
        <v>0.96274509803921626</v>
      </c>
      <c r="K5" s="27">
        <v>0.99485094850948685</v>
      </c>
      <c r="L5" s="36">
        <f>COUNTIF(F:F,F5)</f>
        <v>1</v>
      </c>
      <c r="N5" s="36">
        <f t="shared" si="0"/>
        <v>1</v>
      </c>
    </row>
    <row r="6" spans="1:14" x14ac:dyDescent="0.25">
      <c r="A6" s="31">
        <v>40618</v>
      </c>
      <c r="B6" s="26" t="s">
        <v>64</v>
      </c>
      <c r="C6" s="26" t="s">
        <v>65</v>
      </c>
      <c r="D6" s="26" t="s">
        <v>144</v>
      </c>
      <c r="E6" s="26" t="s">
        <v>7</v>
      </c>
      <c r="F6" s="26" t="s">
        <v>75</v>
      </c>
      <c r="G6" s="26">
        <v>1</v>
      </c>
      <c r="H6" s="33">
        <v>2.5208333333333299</v>
      </c>
      <c r="I6" s="33">
        <v>2.5076388888888901</v>
      </c>
      <c r="J6" s="29">
        <v>0.96274509803921626</v>
      </c>
      <c r="K6" s="27">
        <v>0.9947658402203875</v>
      </c>
      <c r="L6" s="36">
        <f>COUNTIF(F:F,F6)</f>
        <v>1</v>
      </c>
      <c r="N6" s="36">
        <f t="shared" si="0"/>
        <v>1</v>
      </c>
    </row>
    <row r="7" spans="1:14" ht="26.4" x14ac:dyDescent="0.25">
      <c r="A7" s="31">
        <v>40617</v>
      </c>
      <c r="B7" s="26" t="s">
        <v>64</v>
      </c>
      <c r="C7" s="26" t="s">
        <v>65</v>
      </c>
      <c r="D7" s="26" t="s">
        <v>145</v>
      </c>
      <c r="E7" s="26" t="s">
        <v>9</v>
      </c>
      <c r="F7" s="26" t="s">
        <v>74</v>
      </c>
      <c r="G7" s="26">
        <v>1</v>
      </c>
      <c r="H7" s="33">
        <v>2.4791666666666599</v>
      </c>
      <c r="I7" s="33">
        <v>2.46597222222222</v>
      </c>
      <c r="J7" s="29">
        <v>0.96274509803921626</v>
      </c>
      <c r="K7" s="27">
        <v>0.99467787114846118</v>
      </c>
      <c r="L7" s="36">
        <f>COUNTIF(F:F,F7)</f>
        <v>1</v>
      </c>
      <c r="N7" s="36">
        <f t="shared" si="0"/>
        <v>1</v>
      </c>
    </row>
    <row r="8" spans="1:14" x14ac:dyDescent="0.25">
      <c r="A8" s="31">
        <v>40616</v>
      </c>
      <c r="B8" s="26" t="s">
        <v>64</v>
      </c>
      <c r="C8" s="26" t="s">
        <v>65</v>
      </c>
      <c r="D8" s="26" t="s">
        <v>146</v>
      </c>
      <c r="E8" s="26" t="s">
        <v>7</v>
      </c>
      <c r="F8" s="26" t="s">
        <v>73</v>
      </c>
      <c r="G8" s="26">
        <v>1</v>
      </c>
      <c r="H8" s="33">
        <v>2.4375</v>
      </c>
      <c r="I8" s="33">
        <v>2.4243055555555602</v>
      </c>
      <c r="J8" s="29">
        <v>0.96274509803921626</v>
      </c>
      <c r="K8" s="27">
        <v>0.99458689458689642</v>
      </c>
      <c r="L8" s="36">
        <f>COUNTIF(F:F,F8)</f>
        <v>1</v>
      </c>
      <c r="N8" s="36">
        <f t="shared" si="0"/>
        <v>1</v>
      </c>
    </row>
    <row r="9" spans="1:14" x14ac:dyDescent="0.25">
      <c r="A9" s="31">
        <v>40615</v>
      </c>
      <c r="B9" s="26" t="s">
        <v>64</v>
      </c>
      <c r="C9" s="26" t="s">
        <v>65</v>
      </c>
      <c r="D9" s="26" t="s">
        <v>147</v>
      </c>
      <c r="E9" s="26" t="s">
        <v>7</v>
      </c>
      <c r="F9" s="26" t="s">
        <v>69</v>
      </c>
      <c r="G9" s="26">
        <v>1</v>
      </c>
      <c r="H9" s="33">
        <v>2.3958333333333299</v>
      </c>
      <c r="I9" s="33">
        <v>2.3826388888888901</v>
      </c>
      <c r="J9" s="29">
        <v>0.96274509803921626</v>
      </c>
      <c r="K9" s="27">
        <v>0.99449275362319034</v>
      </c>
      <c r="L9" s="36">
        <f>COUNTIF(F:F,F9)</f>
        <v>1</v>
      </c>
      <c r="N9" s="36">
        <f t="shared" si="0"/>
        <v>1</v>
      </c>
    </row>
    <row r="10" spans="1:14" x14ac:dyDescent="0.25">
      <c r="A10" s="31">
        <v>40614</v>
      </c>
      <c r="B10" s="26" t="s">
        <v>64</v>
      </c>
      <c r="C10" s="26" t="s">
        <v>65</v>
      </c>
      <c r="D10" s="26" t="s">
        <v>148</v>
      </c>
      <c r="E10" s="26" t="s">
        <v>9</v>
      </c>
      <c r="F10" s="26" t="s">
        <v>68</v>
      </c>
      <c r="G10" s="26">
        <v>1</v>
      </c>
      <c r="H10" s="33">
        <v>2.3541666666666599</v>
      </c>
      <c r="I10" s="33">
        <v>2.34097222222222</v>
      </c>
      <c r="J10" s="29">
        <v>0.96274509803921626</v>
      </c>
      <c r="K10" s="27">
        <v>0.99439528023599011</v>
      </c>
      <c r="L10" s="36">
        <f>COUNTIF(F:F,F10)</f>
        <v>1</v>
      </c>
      <c r="N10" s="36">
        <f t="shared" si="0"/>
        <v>1</v>
      </c>
    </row>
    <row r="11" spans="1:14" x14ac:dyDescent="0.25">
      <c r="A11" s="31">
        <v>40613</v>
      </c>
      <c r="B11" s="26" t="s">
        <v>64</v>
      </c>
      <c r="C11" s="26" t="s">
        <v>65</v>
      </c>
      <c r="D11" s="26" t="s">
        <v>149</v>
      </c>
      <c r="E11" s="26" t="s">
        <v>7</v>
      </c>
      <c r="F11" s="26" t="s">
        <v>67</v>
      </c>
      <c r="G11" s="26">
        <v>1</v>
      </c>
      <c r="H11" s="33">
        <v>2.3125</v>
      </c>
      <c r="I11" s="33">
        <v>2.2993055555555602</v>
      </c>
      <c r="J11" s="29">
        <v>0.96274509803921626</v>
      </c>
      <c r="K11" s="27">
        <v>0.99429429429429628</v>
      </c>
      <c r="L11" s="36">
        <f>COUNTIF(F:F,F11)</f>
        <v>1</v>
      </c>
      <c r="N11" s="36">
        <f t="shared" si="0"/>
        <v>1</v>
      </c>
    </row>
    <row r="12" spans="1:14" x14ac:dyDescent="0.25">
      <c r="A12" s="31">
        <v>40612</v>
      </c>
      <c r="B12" s="26" t="s">
        <v>64</v>
      </c>
      <c r="C12" s="26" t="s">
        <v>65</v>
      </c>
      <c r="D12" s="26" t="s">
        <v>150</v>
      </c>
      <c r="E12" s="26" t="s">
        <v>7</v>
      </c>
      <c r="F12" s="26" t="s">
        <v>66</v>
      </c>
      <c r="G12" s="26">
        <v>1</v>
      </c>
      <c r="H12" s="33">
        <v>2.2708333333333299</v>
      </c>
      <c r="I12" s="33">
        <v>2.2576388888888901</v>
      </c>
      <c r="J12" s="29">
        <v>0.96274509803921626</v>
      </c>
      <c r="K12" s="27">
        <v>0.99418960244648524</v>
      </c>
      <c r="L12" s="36">
        <f>COUNTIF(F:F,F12)</f>
        <v>1</v>
      </c>
      <c r="N12" s="36">
        <f t="shared" si="0"/>
        <v>1</v>
      </c>
    </row>
    <row r="13" spans="1:14" x14ac:dyDescent="0.25">
      <c r="A13" s="31">
        <v>40627</v>
      </c>
      <c r="B13" s="26" t="s">
        <v>5</v>
      </c>
      <c r="C13" s="26" t="s">
        <v>77</v>
      </c>
      <c r="D13" s="26" t="s">
        <v>135</v>
      </c>
      <c r="E13" s="26" t="s">
        <v>9</v>
      </c>
      <c r="F13" s="26" t="s">
        <v>82</v>
      </c>
      <c r="G13" s="26">
        <v>1</v>
      </c>
      <c r="H13" s="33">
        <v>3.9375</v>
      </c>
      <c r="I13" s="33">
        <v>2.8826388888888901</v>
      </c>
      <c r="J13" s="29">
        <v>0.96274509803921626</v>
      </c>
      <c r="K13" s="27">
        <v>0.73209876543209906</v>
      </c>
      <c r="L13" s="36">
        <f>COUNTIF(F:F,F13)</f>
        <v>1</v>
      </c>
      <c r="N13" s="36">
        <f t="shared" si="0"/>
        <v>1</v>
      </c>
    </row>
    <row r="14" spans="1:14" x14ac:dyDescent="0.25">
      <c r="A14" s="31">
        <v>40626</v>
      </c>
      <c r="B14" s="26" t="s">
        <v>5</v>
      </c>
      <c r="C14" s="26" t="s">
        <v>77</v>
      </c>
      <c r="D14" s="26" t="s">
        <v>136</v>
      </c>
      <c r="E14" s="26" t="s">
        <v>9</v>
      </c>
      <c r="F14" s="26" t="s">
        <v>81</v>
      </c>
      <c r="G14" s="26">
        <v>0</v>
      </c>
      <c r="H14" s="33">
        <v>3.8958333333333299</v>
      </c>
      <c r="I14" s="33">
        <v>2.84097222222222</v>
      </c>
      <c r="J14" s="29">
        <v>0.96274509803921626</v>
      </c>
      <c r="K14" s="27">
        <v>0.72923351158645289</v>
      </c>
      <c r="L14" s="36">
        <f>COUNTIF(F:F,F14)</f>
        <v>1</v>
      </c>
      <c r="N14" s="36">
        <f t="shared" si="0"/>
        <v>1</v>
      </c>
    </row>
    <row r="15" spans="1:14" x14ac:dyDescent="0.25">
      <c r="A15" s="31">
        <v>40625</v>
      </c>
      <c r="B15" s="26" t="s">
        <v>5</v>
      </c>
      <c r="C15" s="26" t="s">
        <v>77</v>
      </c>
      <c r="D15" s="26" t="s">
        <v>137</v>
      </c>
      <c r="E15" s="26" t="s">
        <v>7</v>
      </c>
      <c r="F15" s="26" t="s">
        <v>80</v>
      </c>
      <c r="G15" s="26">
        <v>1</v>
      </c>
      <c r="H15" s="33">
        <v>3.8541666666666599</v>
      </c>
      <c r="I15" s="33">
        <v>2.7993055555555602</v>
      </c>
      <c r="J15" s="29">
        <v>0.96274509803921626</v>
      </c>
      <c r="K15" s="27">
        <v>0.72630630630630877</v>
      </c>
      <c r="L15" s="36">
        <f>COUNTIF(F:F,F15)</f>
        <v>1</v>
      </c>
      <c r="N15" s="36">
        <f t="shared" si="0"/>
        <v>1</v>
      </c>
    </row>
    <row r="16" spans="1:14" x14ac:dyDescent="0.25">
      <c r="A16" s="31">
        <v>40624</v>
      </c>
      <c r="B16" s="26" t="s">
        <v>5</v>
      </c>
      <c r="C16" s="26" t="s">
        <v>77</v>
      </c>
      <c r="D16" s="26" t="s">
        <v>138</v>
      </c>
      <c r="E16" s="26" t="s">
        <v>7</v>
      </c>
      <c r="F16" s="26" t="s">
        <v>79</v>
      </c>
      <c r="G16" s="26">
        <v>1</v>
      </c>
      <c r="H16" s="33">
        <v>3.8125</v>
      </c>
      <c r="I16" s="33">
        <v>2.7576388888888901</v>
      </c>
      <c r="J16" s="29">
        <v>0.96274509803921626</v>
      </c>
      <c r="K16" s="27">
        <v>0.72331511839708595</v>
      </c>
      <c r="L16" s="36">
        <f>COUNTIF(F:F,F16)</f>
        <v>1</v>
      </c>
      <c r="N16" s="36">
        <f t="shared" si="0"/>
        <v>1</v>
      </c>
    </row>
    <row r="17" spans="1:14" x14ac:dyDescent="0.25">
      <c r="A17" s="31">
        <v>40623</v>
      </c>
      <c r="B17" s="26" t="s">
        <v>5</v>
      </c>
      <c r="C17" s="26" t="s">
        <v>77</v>
      </c>
      <c r="D17" s="26" t="s">
        <v>139</v>
      </c>
      <c r="E17" s="26" t="s">
        <v>7</v>
      </c>
      <c r="F17" s="26" t="s">
        <v>78</v>
      </c>
      <c r="G17" s="26">
        <v>0</v>
      </c>
      <c r="H17" s="33">
        <v>3.7708333333333299</v>
      </c>
      <c r="I17" s="33">
        <v>2.71597222222222</v>
      </c>
      <c r="J17" s="29">
        <v>0.96274509803921626</v>
      </c>
      <c r="K17" s="27">
        <v>0.72025782688766116</v>
      </c>
      <c r="L17" s="36">
        <f>COUNTIF(F:F,F17)</f>
        <v>1</v>
      </c>
      <c r="N17" s="36">
        <f t="shared" si="0"/>
        <v>1</v>
      </c>
    </row>
    <row r="18" spans="1:14" x14ac:dyDescent="0.25">
      <c r="A18" s="31">
        <v>40610</v>
      </c>
      <c r="B18" s="26" t="s">
        <v>5</v>
      </c>
      <c r="C18" s="26" t="s">
        <v>55</v>
      </c>
      <c r="D18" s="26" t="s">
        <v>152</v>
      </c>
      <c r="E18" s="26" t="s">
        <v>7</v>
      </c>
      <c r="F18" s="26" t="s">
        <v>60</v>
      </c>
      <c r="G18" s="26">
        <v>0</v>
      </c>
      <c r="H18" s="33">
        <v>3.7291666666666599</v>
      </c>
      <c r="I18" s="33">
        <v>2.1743055555555602</v>
      </c>
      <c r="J18" s="29">
        <v>0.96274509803921626</v>
      </c>
      <c r="K18" s="27">
        <v>0.58305400372439709</v>
      </c>
      <c r="L18" s="36">
        <f>COUNTIF(F:F,F18)</f>
        <v>1</v>
      </c>
      <c r="N18" s="36">
        <f t="shared" si="0"/>
        <v>1</v>
      </c>
    </row>
    <row r="19" spans="1:14" x14ac:dyDescent="0.25">
      <c r="A19" s="31">
        <v>40609</v>
      </c>
      <c r="B19" s="26" t="s">
        <v>5</v>
      </c>
      <c r="C19" s="26" t="s">
        <v>55</v>
      </c>
      <c r="D19" s="26" t="s">
        <v>153</v>
      </c>
      <c r="E19" s="26" t="s">
        <v>9</v>
      </c>
      <c r="F19" s="26" t="s">
        <v>59</v>
      </c>
      <c r="G19" s="26">
        <v>1</v>
      </c>
      <c r="H19" s="33">
        <v>3.6875</v>
      </c>
      <c r="I19" s="33">
        <v>2.1326388888888901</v>
      </c>
      <c r="J19" s="29">
        <v>0.96274509803921626</v>
      </c>
      <c r="K19" s="27">
        <v>0.57834274952919051</v>
      </c>
      <c r="L19" s="36">
        <f>COUNTIF(F:F,F19)</f>
        <v>1</v>
      </c>
      <c r="N19" s="36">
        <f t="shared" si="0"/>
        <v>1</v>
      </c>
    </row>
    <row r="20" spans="1:14" x14ac:dyDescent="0.25">
      <c r="A20" s="31">
        <v>40608</v>
      </c>
      <c r="B20" s="26" t="s">
        <v>5</v>
      </c>
      <c r="C20" s="26" t="s">
        <v>55</v>
      </c>
      <c r="D20" s="26" t="s">
        <v>154</v>
      </c>
      <c r="E20" s="26" t="s">
        <v>7</v>
      </c>
      <c r="F20" s="26" t="s">
        <v>58</v>
      </c>
      <c r="G20" s="26">
        <v>1</v>
      </c>
      <c r="H20" s="33">
        <v>3.6458333333333299</v>
      </c>
      <c r="I20" s="33">
        <v>2.09097222222222</v>
      </c>
      <c r="J20" s="29">
        <v>0.96274509803921626</v>
      </c>
      <c r="K20" s="27">
        <v>0.57352380952380944</v>
      </c>
      <c r="L20" s="36">
        <f>COUNTIF(F:F,F20)</f>
        <v>1</v>
      </c>
      <c r="N20" s="36">
        <f t="shared" si="0"/>
        <v>1</v>
      </c>
    </row>
    <row r="21" spans="1:14" x14ac:dyDescent="0.25">
      <c r="A21" s="31">
        <v>40607</v>
      </c>
      <c r="B21" s="26" t="s">
        <v>5</v>
      </c>
      <c r="C21" s="26" t="s">
        <v>55</v>
      </c>
      <c r="D21" s="26" t="s">
        <v>155</v>
      </c>
      <c r="E21" s="26" t="s">
        <v>7</v>
      </c>
      <c r="F21" s="26" t="s">
        <v>57</v>
      </c>
      <c r="G21" s="26">
        <v>1</v>
      </c>
      <c r="H21" s="33">
        <v>3.6041666666666599</v>
      </c>
      <c r="I21" s="33">
        <v>2.0493055555555602</v>
      </c>
      <c r="J21" s="29">
        <v>0.96274509803921626</v>
      </c>
      <c r="K21" s="27">
        <v>0.56859344894027208</v>
      </c>
      <c r="L21" s="36">
        <f>COUNTIF(F:F,F21)</f>
        <v>1</v>
      </c>
      <c r="N21" s="36">
        <f t="shared" si="0"/>
        <v>1</v>
      </c>
    </row>
    <row r="22" spans="1:14" x14ac:dyDescent="0.25">
      <c r="A22" s="31">
        <v>40606</v>
      </c>
      <c r="B22" s="26" t="s">
        <v>5</v>
      </c>
      <c r="C22" s="26" t="s">
        <v>55</v>
      </c>
      <c r="D22" s="26" t="s">
        <v>156</v>
      </c>
      <c r="E22" s="26" t="s">
        <v>7</v>
      </c>
      <c r="F22" s="26" t="s">
        <v>56</v>
      </c>
      <c r="G22" s="26">
        <v>0</v>
      </c>
      <c r="H22" s="33">
        <v>3.5625</v>
      </c>
      <c r="I22" s="33">
        <v>2.0076388888888901</v>
      </c>
      <c r="J22" s="29">
        <v>0.96274509803921626</v>
      </c>
      <c r="K22" s="27">
        <v>0.56354775828460069</v>
      </c>
      <c r="L22" s="36">
        <f>COUNTIF(F:F,F22)</f>
        <v>1</v>
      </c>
      <c r="N22" s="36">
        <f t="shared" si="0"/>
        <v>1</v>
      </c>
    </row>
    <row r="23" spans="1:14" x14ac:dyDescent="0.25">
      <c r="A23" s="31">
        <v>40599</v>
      </c>
      <c r="B23" s="26" t="s">
        <v>5</v>
      </c>
      <c r="C23" s="26" t="s">
        <v>33</v>
      </c>
      <c r="D23" s="26" t="s">
        <v>163</v>
      </c>
      <c r="E23" s="26" t="s">
        <v>7</v>
      </c>
      <c r="F23" s="26" t="s">
        <v>45</v>
      </c>
      <c r="G23" s="26">
        <v>1</v>
      </c>
      <c r="H23" s="33">
        <v>3.5208333333333299</v>
      </c>
      <c r="I23" s="33">
        <v>1.71597222222222</v>
      </c>
      <c r="J23" s="29">
        <v>0.96274509803921626</v>
      </c>
      <c r="K23" s="27">
        <v>0.48737672583826414</v>
      </c>
      <c r="L23" s="36">
        <f>COUNTIF(F:F,F23)</f>
        <v>1</v>
      </c>
      <c r="N23" s="36">
        <f t="shared" si="0"/>
        <v>1</v>
      </c>
    </row>
    <row r="24" spans="1:14" x14ac:dyDescent="0.25">
      <c r="A24" s="31">
        <v>40598</v>
      </c>
      <c r="B24" s="26" t="s">
        <v>5</v>
      </c>
      <c r="C24" s="26" t="s">
        <v>33</v>
      </c>
      <c r="D24" s="26" t="s">
        <v>164</v>
      </c>
      <c r="E24" s="26" t="s">
        <v>7</v>
      </c>
      <c r="F24" s="26" t="s">
        <v>44</v>
      </c>
      <c r="G24" s="26">
        <v>0</v>
      </c>
      <c r="H24" s="33">
        <v>3.4791666666666599</v>
      </c>
      <c r="I24" s="33">
        <v>1.6743055555555599</v>
      </c>
      <c r="J24" s="29">
        <v>0.96274509803921626</v>
      </c>
      <c r="K24" s="27">
        <v>0.48123752495010202</v>
      </c>
      <c r="L24" s="36">
        <f>COUNTIF(F:F,F24)</f>
        <v>1</v>
      </c>
      <c r="N24" s="36">
        <f t="shared" si="0"/>
        <v>1</v>
      </c>
    </row>
    <row r="25" spans="1:14" x14ac:dyDescent="0.25">
      <c r="A25" s="31">
        <v>40597</v>
      </c>
      <c r="B25" s="26" t="s">
        <v>5</v>
      </c>
      <c r="C25" s="26" t="s">
        <v>33</v>
      </c>
      <c r="D25" s="26" t="s">
        <v>165</v>
      </c>
      <c r="E25" s="26" t="s">
        <v>7</v>
      </c>
      <c r="F25" s="26" t="s">
        <v>43</v>
      </c>
      <c r="G25" s="26">
        <v>1</v>
      </c>
      <c r="H25" s="33">
        <v>3.4375</v>
      </c>
      <c r="I25" s="33">
        <v>1.6326388888888901</v>
      </c>
      <c r="J25" s="29">
        <v>0.96274509803921626</v>
      </c>
      <c r="K25" s="27">
        <v>0.47494949494949529</v>
      </c>
      <c r="L25" s="36">
        <f>COUNTIF(F:F,F25)</f>
        <v>1</v>
      </c>
      <c r="N25" s="36">
        <f t="shared" si="0"/>
        <v>1</v>
      </c>
    </row>
    <row r="26" spans="1:14" x14ac:dyDescent="0.25">
      <c r="A26" s="31">
        <v>40596</v>
      </c>
      <c r="B26" s="26" t="s">
        <v>5</v>
      </c>
      <c r="C26" s="26" t="s">
        <v>33</v>
      </c>
      <c r="D26" s="26" t="s">
        <v>166</v>
      </c>
      <c r="E26" s="26" t="s">
        <v>7</v>
      </c>
      <c r="F26" s="26" t="s">
        <v>42</v>
      </c>
      <c r="G26" s="26">
        <v>1</v>
      </c>
      <c r="H26" s="33">
        <v>3.3958333333333299</v>
      </c>
      <c r="I26" s="33">
        <v>1.59097222222222</v>
      </c>
      <c r="J26" s="29">
        <v>0.96274509803921626</v>
      </c>
      <c r="K26" s="27">
        <v>0.46850715746421251</v>
      </c>
      <c r="L26" s="36">
        <f>COUNTIF(F:F,F26)</f>
        <v>1</v>
      </c>
      <c r="N26" s="36">
        <f t="shared" si="0"/>
        <v>1</v>
      </c>
    </row>
    <row r="27" spans="1:14" x14ac:dyDescent="0.25">
      <c r="A27" s="31">
        <v>40595</v>
      </c>
      <c r="B27" s="26" t="s">
        <v>5</v>
      </c>
      <c r="C27" s="26" t="s">
        <v>33</v>
      </c>
      <c r="D27" s="26" t="s">
        <v>167</v>
      </c>
      <c r="E27" s="26" t="s">
        <v>7</v>
      </c>
      <c r="F27" s="26" t="s">
        <v>41</v>
      </c>
      <c r="G27" s="26">
        <v>0</v>
      </c>
      <c r="H27" s="33">
        <v>3.3541666666666599</v>
      </c>
      <c r="I27" s="33">
        <v>1.5493055555555599</v>
      </c>
      <c r="J27" s="29">
        <v>0.96274509803921626</v>
      </c>
      <c r="K27" s="27">
        <v>0.46190476190476415</v>
      </c>
      <c r="L27" s="36">
        <f>COUNTIF(F:F,F27)</f>
        <v>1</v>
      </c>
      <c r="N27" s="36">
        <f t="shared" si="0"/>
        <v>1</v>
      </c>
    </row>
    <row r="28" spans="1:14" x14ac:dyDescent="0.25">
      <c r="A28" s="31">
        <v>40594</v>
      </c>
      <c r="B28" s="26" t="s">
        <v>5</v>
      </c>
      <c r="C28" s="26" t="s">
        <v>33</v>
      </c>
      <c r="D28" s="26" t="s">
        <v>168</v>
      </c>
      <c r="E28" s="26" t="s">
        <v>9</v>
      </c>
      <c r="F28" s="26" t="s">
        <v>40</v>
      </c>
      <c r="G28" s="26">
        <v>1</v>
      </c>
      <c r="H28" s="33">
        <v>3.3125</v>
      </c>
      <c r="I28" s="33">
        <v>1.5076388888888901</v>
      </c>
      <c r="J28" s="29">
        <v>0.96274509803921626</v>
      </c>
      <c r="K28" s="27">
        <v>0.45513626834381588</v>
      </c>
      <c r="L28" s="36">
        <f>COUNTIF(F:F,F28)</f>
        <v>1</v>
      </c>
      <c r="N28" s="36">
        <f t="shared" si="0"/>
        <v>1</v>
      </c>
    </row>
    <row r="29" spans="1:14" x14ac:dyDescent="0.25">
      <c r="A29" s="31">
        <v>40593</v>
      </c>
      <c r="B29" s="26" t="s">
        <v>5</v>
      </c>
      <c r="C29" s="26" t="s">
        <v>33</v>
      </c>
      <c r="D29" s="26" t="s">
        <v>169</v>
      </c>
      <c r="E29" s="26" t="s">
        <v>7</v>
      </c>
      <c r="F29" s="26" t="s">
        <v>39</v>
      </c>
      <c r="G29" s="26">
        <v>1</v>
      </c>
      <c r="H29" s="33">
        <v>3.2708333333333299</v>
      </c>
      <c r="I29" s="33">
        <v>1.46597222222222</v>
      </c>
      <c r="J29" s="29">
        <v>0.96274509803921626</v>
      </c>
      <c r="K29" s="27">
        <v>0.44819532908704862</v>
      </c>
      <c r="L29" s="36">
        <f>COUNTIF(F:F,F29)</f>
        <v>1</v>
      </c>
      <c r="N29" s="36">
        <f t="shared" si="0"/>
        <v>1</v>
      </c>
    </row>
    <row r="30" spans="1:14" x14ac:dyDescent="0.25">
      <c r="A30" s="31">
        <v>40592</v>
      </c>
      <c r="B30" s="26" t="s">
        <v>5</v>
      </c>
      <c r="C30" s="26" t="s">
        <v>33</v>
      </c>
      <c r="D30" s="26" t="s">
        <v>170</v>
      </c>
      <c r="E30" s="26" t="s">
        <v>9</v>
      </c>
      <c r="F30" s="26" t="s">
        <v>38</v>
      </c>
      <c r="G30" s="26">
        <v>1</v>
      </c>
      <c r="H30" s="33">
        <v>3.2291666666666599</v>
      </c>
      <c r="I30" s="33">
        <v>1.4243055555555599</v>
      </c>
      <c r="J30" s="29">
        <v>0.96274509803921626</v>
      </c>
      <c r="K30" s="27">
        <v>0.4410752688172066</v>
      </c>
      <c r="L30" s="36">
        <f>COUNTIF(F:F,F30)</f>
        <v>1</v>
      </c>
      <c r="N30" s="36">
        <f t="shared" si="0"/>
        <v>1</v>
      </c>
    </row>
    <row r="31" spans="1:14" x14ac:dyDescent="0.25">
      <c r="A31" s="31">
        <v>40591</v>
      </c>
      <c r="B31" s="26" t="s">
        <v>5</v>
      </c>
      <c r="C31" s="26" t="s">
        <v>33</v>
      </c>
      <c r="D31" s="26" t="s">
        <v>170</v>
      </c>
      <c r="E31" s="26" t="s">
        <v>9</v>
      </c>
      <c r="F31" s="26" t="s">
        <v>37</v>
      </c>
      <c r="G31" s="26">
        <v>1</v>
      </c>
      <c r="H31" s="33">
        <v>3.1875</v>
      </c>
      <c r="I31" s="33">
        <v>1.3826388888888901</v>
      </c>
      <c r="J31" s="29">
        <v>0.96274509803921626</v>
      </c>
      <c r="K31" s="27">
        <v>0.43376906318082825</v>
      </c>
      <c r="L31" s="36">
        <f>COUNTIF(F:F,F31)</f>
        <v>1</v>
      </c>
      <c r="N31" s="36">
        <f t="shared" si="0"/>
        <v>1</v>
      </c>
    </row>
    <row r="32" spans="1:14" x14ac:dyDescent="0.25">
      <c r="A32" s="31">
        <v>40590</v>
      </c>
      <c r="B32" s="26" t="s">
        <v>5</v>
      </c>
      <c r="C32" s="26" t="s">
        <v>33</v>
      </c>
      <c r="D32" s="26" t="s">
        <v>171</v>
      </c>
      <c r="E32" s="26" t="s">
        <v>7</v>
      </c>
      <c r="F32" s="26" t="s">
        <v>36</v>
      </c>
      <c r="G32" s="26">
        <v>1</v>
      </c>
      <c r="H32" s="33">
        <v>3.1458333333333299</v>
      </c>
      <c r="I32" s="33">
        <v>1.34097222222222</v>
      </c>
      <c r="J32" s="29">
        <v>0.96274509803921626</v>
      </c>
      <c r="K32" s="27">
        <v>0.42626931567328896</v>
      </c>
      <c r="L32" s="36">
        <f>COUNTIF(F:F,F32)</f>
        <v>1</v>
      </c>
      <c r="N32" s="36">
        <f t="shared" si="0"/>
        <v>1</v>
      </c>
    </row>
    <row r="33" spans="1:14" x14ac:dyDescent="0.25">
      <c r="A33" s="31">
        <v>40589</v>
      </c>
      <c r="B33" s="26" t="s">
        <v>5</v>
      </c>
      <c r="C33" s="26" t="s">
        <v>33</v>
      </c>
      <c r="D33" s="26" t="s">
        <v>172</v>
      </c>
      <c r="E33" s="26" t="s">
        <v>7</v>
      </c>
      <c r="F33" s="26" t="s">
        <v>35</v>
      </c>
      <c r="G33" s="26">
        <v>1</v>
      </c>
      <c r="H33" s="33">
        <v>3.1041666666666599</v>
      </c>
      <c r="I33" s="33">
        <v>1.2993055555555599</v>
      </c>
      <c r="J33" s="29">
        <v>0.96274509803921626</v>
      </c>
      <c r="K33" s="27">
        <v>0.41856823266219473</v>
      </c>
      <c r="L33" s="36">
        <f>COUNTIF(F:F,F33)</f>
        <v>1</v>
      </c>
      <c r="N33" s="36">
        <f t="shared" si="0"/>
        <v>1</v>
      </c>
    </row>
    <row r="34" spans="1:14" x14ac:dyDescent="0.25">
      <c r="A34" s="31">
        <v>40588</v>
      </c>
      <c r="B34" s="26" t="s">
        <v>5</v>
      </c>
      <c r="C34" s="26" t="s">
        <v>33</v>
      </c>
      <c r="D34" s="26" t="s">
        <v>173</v>
      </c>
      <c r="E34" s="26" t="s">
        <v>9</v>
      </c>
      <c r="F34" s="26" t="s">
        <v>34</v>
      </c>
      <c r="G34" s="26">
        <v>1</v>
      </c>
      <c r="H34" s="33">
        <v>3.0625</v>
      </c>
      <c r="I34" s="33">
        <v>1.2576388888888901</v>
      </c>
      <c r="J34" s="29">
        <v>0.96274509803921626</v>
      </c>
      <c r="K34" s="27">
        <v>0.41065759637188248</v>
      </c>
      <c r="L34" s="36">
        <f>COUNTIF(F:F,F34)</f>
        <v>1</v>
      </c>
      <c r="N34" s="36">
        <f t="shared" si="0"/>
        <v>1</v>
      </c>
    </row>
    <row r="35" spans="1:14" x14ac:dyDescent="0.25">
      <c r="A35" s="31">
        <v>40573</v>
      </c>
      <c r="B35" s="26" t="s">
        <v>5</v>
      </c>
      <c r="C35" s="26" t="s">
        <v>6</v>
      </c>
      <c r="D35" s="26" t="s">
        <v>188</v>
      </c>
      <c r="E35" s="26" t="s">
        <v>9</v>
      </c>
      <c r="F35" s="26" t="s">
        <v>16</v>
      </c>
      <c r="G35" s="26">
        <v>1</v>
      </c>
      <c r="H35" s="33">
        <v>3.0208333333333299</v>
      </c>
      <c r="I35" s="33">
        <v>0.63263888888888897</v>
      </c>
      <c r="J35" s="29">
        <v>0.96274509803921626</v>
      </c>
      <c r="K35" s="27">
        <v>0.2094252873563221</v>
      </c>
      <c r="L35" s="36">
        <f>COUNTIF(F:F,F35)</f>
        <v>1</v>
      </c>
      <c r="N35" s="36">
        <f t="shared" si="0"/>
        <v>1</v>
      </c>
    </row>
    <row r="36" spans="1:14" x14ac:dyDescent="0.25">
      <c r="A36" s="31">
        <v>40572</v>
      </c>
      <c r="B36" s="26" t="s">
        <v>5</v>
      </c>
      <c r="C36" s="26" t="s">
        <v>6</v>
      </c>
      <c r="D36" s="26" t="s">
        <v>189</v>
      </c>
      <c r="E36" s="26" t="s">
        <v>7</v>
      </c>
      <c r="F36" s="26" t="s">
        <v>15</v>
      </c>
      <c r="G36" s="26">
        <v>1</v>
      </c>
      <c r="H36" s="33">
        <v>2.9791666666666599</v>
      </c>
      <c r="I36" s="33">
        <v>0.59097222222222201</v>
      </c>
      <c r="J36" s="29">
        <v>0.96274509803921626</v>
      </c>
      <c r="K36" s="27">
        <v>0.19836829836829875</v>
      </c>
      <c r="L36" s="36">
        <f>COUNTIF(F:F,F36)</f>
        <v>1</v>
      </c>
      <c r="N36" s="36">
        <f t="shared" si="0"/>
        <v>1</v>
      </c>
    </row>
    <row r="37" spans="1:14" x14ac:dyDescent="0.25">
      <c r="A37" s="31">
        <v>40571</v>
      </c>
      <c r="B37" s="26" t="s">
        <v>5</v>
      </c>
      <c r="C37" s="26" t="s">
        <v>6</v>
      </c>
      <c r="D37" s="26" t="s">
        <v>190</v>
      </c>
      <c r="E37" s="26" t="s">
        <v>7</v>
      </c>
      <c r="F37" s="26" t="s">
        <v>14</v>
      </c>
      <c r="G37" s="26">
        <v>1</v>
      </c>
      <c r="H37" s="33">
        <v>2.9375</v>
      </c>
      <c r="I37" s="33">
        <v>0.54930555555555605</v>
      </c>
      <c r="J37" s="29">
        <v>0.96274509803921626</v>
      </c>
      <c r="K37" s="27">
        <v>0.18699763593380631</v>
      </c>
      <c r="L37" s="36">
        <f>COUNTIF(F:F,F37)</f>
        <v>1</v>
      </c>
      <c r="N37" s="36">
        <f t="shared" si="0"/>
        <v>1</v>
      </c>
    </row>
    <row r="38" spans="1:14" x14ac:dyDescent="0.25">
      <c r="A38" s="31">
        <v>40570</v>
      </c>
      <c r="B38" s="26" t="s">
        <v>5</v>
      </c>
      <c r="C38" s="26" t="s">
        <v>6</v>
      </c>
      <c r="D38" s="26" t="s">
        <v>191</v>
      </c>
      <c r="E38" s="26" t="s">
        <v>9</v>
      </c>
      <c r="F38" s="26" t="s">
        <v>13</v>
      </c>
      <c r="G38" s="26">
        <v>1</v>
      </c>
      <c r="H38" s="33">
        <v>2.8958333333333299</v>
      </c>
      <c r="I38" s="33">
        <v>0.50763888888888897</v>
      </c>
      <c r="J38" s="29">
        <v>0.96274509803921626</v>
      </c>
      <c r="K38" s="27">
        <v>0.17529976019184676</v>
      </c>
      <c r="L38" s="36">
        <f>COUNTIF(F:F,F38)</f>
        <v>1</v>
      </c>
      <c r="N38" s="36">
        <f t="shared" si="0"/>
        <v>1</v>
      </c>
    </row>
    <row r="39" spans="1:14" x14ac:dyDescent="0.25">
      <c r="A39" s="31">
        <v>40569</v>
      </c>
      <c r="B39" s="26" t="s">
        <v>5</v>
      </c>
      <c r="C39" s="26" t="s">
        <v>6</v>
      </c>
      <c r="D39" s="26" t="s">
        <v>192</v>
      </c>
      <c r="E39" s="26" t="s">
        <v>7</v>
      </c>
      <c r="F39" s="26" t="s">
        <v>12</v>
      </c>
      <c r="G39" s="26">
        <v>1</v>
      </c>
      <c r="H39" s="33">
        <v>2.8541666666666599</v>
      </c>
      <c r="I39" s="33">
        <v>0.46597222222222201</v>
      </c>
      <c r="J39" s="29">
        <v>0.96274509803921626</v>
      </c>
      <c r="K39" s="27">
        <v>0.16326034063260372</v>
      </c>
      <c r="L39" s="36">
        <f>COUNTIF(F:F,F39)</f>
        <v>1</v>
      </c>
      <c r="N39" s="36">
        <f t="shared" si="0"/>
        <v>1</v>
      </c>
    </row>
    <row r="40" spans="1:14" x14ac:dyDescent="0.25">
      <c r="A40" s="31">
        <v>40568</v>
      </c>
      <c r="B40" s="26" t="s">
        <v>5</v>
      </c>
      <c r="C40" s="26" t="s">
        <v>6</v>
      </c>
      <c r="D40" s="26" t="s">
        <v>193</v>
      </c>
      <c r="E40" s="26" t="s">
        <v>7</v>
      </c>
      <c r="F40" s="26" t="s">
        <v>11</v>
      </c>
      <c r="G40" s="26">
        <v>1</v>
      </c>
      <c r="H40" s="33">
        <v>2.8125</v>
      </c>
      <c r="I40" s="33">
        <v>0.42430555555555599</v>
      </c>
      <c r="J40" s="29">
        <v>0.96274509803921626</v>
      </c>
      <c r="K40" s="27">
        <v>0.15086419753086436</v>
      </c>
      <c r="L40" s="36">
        <f>COUNTIF(F:F,F40)</f>
        <v>1</v>
      </c>
      <c r="N40" s="36">
        <f t="shared" si="0"/>
        <v>1</v>
      </c>
    </row>
    <row r="41" spans="1:14" x14ac:dyDescent="0.25">
      <c r="A41" s="31">
        <v>40567</v>
      </c>
      <c r="B41" s="26" t="s">
        <v>5</v>
      </c>
      <c r="C41" s="26" t="s">
        <v>6</v>
      </c>
      <c r="D41" s="26" t="s">
        <v>194</v>
      </c>
      <c r="E41" s="26" t="s">
        <v>9</v>
      </c>
      <c r="F41" s="26" t="s">
        <v>10</v>
      </c>
      <c r="G41" s="26">
        <v>1</v>
      </c>
      <c r="H41" s="33">
        <v>2.7708333333333299</v>
      </c>
      <c r="I41" s="33">
        <v>0.38263888888888897</v>
      </c>
      <c r="J41" s="29">
        <v>0.96274509803921626</v>
      </c>
      <c r="K41" s="27">
        <v>0.1380952380952383</v>
      </c>
      <c r="L41" s="36">
        <f>COUNTIF(F:F,F41)</f>
        <v>1</v>
      </c>
      <c r="N41" s="36">
        <f t="shared" si="0"/>
        <v>1</v>
      </c>
    </row>
    <row r="42" spans="1:14" x14ac:dyDescent="0.25">
      <c r="A42" s="31">
        <v>40566</v>
      </c>
      <c r="B42" s="26" t="s">
        <v>5</v>
      </c>
      <c r="C42" s="26" t="s">
        <v>6</v>
      </c>
      <c r="D42" s="26" t="s">
        <v>195</v>
      </c>
      <c r="E42" s="26" t="s">
        <v>7</v>
      </c>
      <c r="F42" s="26" t="s">
        <v>8</v>
      </c>
      <c r="G42" s="26">
        <v>1</v>
      </c>
      <c r="H42" s="33">
        <v>2.7291666666666599</v>
      </c>
      <c r="I42" s="33">
        <v>0.34097222222222245</v>
      </c>
      <c r="J42" s="29">
        <v>0.96274509803921626</v>
      </c>
      <c r="K42" s="27">
        <v>0.12493638676844823</v>
      </c>
      <c r="L42" s="36">
        <f>COUNTIF(F:F,F42)</f>
        <v>1</v>
      </c>
      <c r="N42" s="36">
        <f t="shared" si="0"/>
        <v>1</v>
      </c>
    </row>
    <row r="43" spans="1:14" x14ac:dyDescent="0.25">
      <c r="A43" s="31">
        <v>40587</v>
      </c>
      <c r="B43" s="26" t="s">
        <v>17</v>
      </c>
      <c r="C43" s="26" t="s">
        <v>18</v>
      </c>
      <c r="D43" s="26" t="s">
        <v>174</v>
      </c>
      <c r="E43" s="26" t="s">
        <v>9</v>
      </c>
      <c r="F43" s="26" t="s">
        <v>32</v>
      </c>
      <c r="G43" s="26">
        <v>1</v>
      </c>
      <c r="H43" s="33">
        <v>4.5208333333333304</v>
      </c>
      <c r="I43" s="33">
        <v>1.21597222222222</v>
      </c>
      <c r="J43" s="29">
        <v>0.96274509803921626</v>
      </c>
      <c r="K43" s="27">
        <v>0.26897081413210416</v>
      </c>
      <c r="L43" s="36">
        <f>COUNTIF(F:F,F43)</f>
        <v>1</v>
      </c>
      <c r="N43" s="36">
        <f t="shared" si="0"/>
        <v>1</v>
      </c>
    </row>
    <row r="44" spans="1:14" x14ac:dyDescent="0.25">
      <c r="A44" s="31">
        <v>40586</v>
      </c>
      <c r="B44" s="26" t="s">
        <v>17</v>
      </c>
      <c r="C44" s="26" t="s">
        <v>18</v>
      </c>
      <c r="D44" s="26" t="s">
        <v>175</v>
      </c>
      <c r="E44" s="26" t="s">
        <v>9</v>
      </c>
      <c r="F44" s="26" t="s">
        <v>31</v>
      </c>
      <c r="G44" s="26">
        <v>1</v>
      </c>
      <c r="H44" s="33">
        <v>4.4791666666666599</v>
      </c>
      <c r="I44" s="33">
        <v>1.1743055555555599</v>
      </c>
      <c r="J44" s="29">
        <v>0.96274509803921626</v>
      </c>
      <c r="K44" s="27">
        <v>0.26217054263566031</v>
      </c>
      <c r="L44" s="36">
        <f>COUNTIF(F:F,F44)</f>
        <v>1</v>
      </c>
      <c r="N44" s="36">
        <f t="shared" si="0"/>
        <v>1</v>
      </c>
    </row>
    <row r="45" spans="1:14" x14ac:dyDescent="0.25">
      <c r="A45" s="31">
        <v>40585</v>
      </c>
      <c r="B45" s="26" t="s">
        <v>17</v>
      </c>
      <c r="C45" s="26" t="s">
        <v>18</v>
      </c>
      <c r="D45" s="26" t="s">
        <v>176</v>
      </c>
      <c r="E45" s="26" t="s">
        <v>7</v>
      </c>
      <c r="F45" s="26" t="s">
        <v>30</v>
      </c>
      <c r="G45" s="26">
        <v>1</v>
      </c>
      <c r="H45" s="33">
        <v>4.4375</v>
      </c>
      <c r="I45" s="33">
        <v>1.1326388888888901</v>
      </c>
      <c r="J45" s="29">
        <v>0.96274509803921626</v>
      </c>
      <c r="K45" s="27">
        <v>0.25524256651017241</v>
      </c>
      <c r="L45" s="36">
        <f>COUNTIF(F:F,F45)</f>
        <v>1</v>
      </c>
      <c r="N45" s="36">
        <f t="shared" si="0"/>
        <v>1</v>
      </c>
    </row>
    <row r="46" spans="1:14" x14ac:dyDescent="0.25">
      <c r="A46" s="31">
        <v>40584</v>
      </c>
      <c r="B46" s="26" t="s">
        <v>17</v>
      </c>
      <c r="C46" s="26" t="s">
        <v>18</v>
      </c>
      <c r="D46" s="26" t="s">
        <v>177</v>
      </c>
      <c r="E46" s="26" t="s">
        <v>9</v>
      </c>
      <c r="F46" s="26" t="s">
        <v>22</v>
      </c>
      <c r="G46" s="26">
        <v>1</v>
      </c>
      <c r="H46" s="33">
        <v>4.3958333333333304</v>
      </c>
      <c r="I46" s="33">
        <v>1.09097222222222</v>
      </c>
      <c r="J46" s="29">
        <v>0.96274509803921626</v>
      </c>
      <c r="K46" s="27">
        <v>0.24818325434439145</v>
      </c>
      <c r="L46" s="36">
        <f>COUNTIF(F:F,F46)</f>
        <v>1</v>
      </c>
      <c r="N46" s="36">
        <f t="shared" si="0"/>
        <v>1</v>
      </c>
    </row>
    <row r="47" spans="1:14" x14ac:dyDescent="0.25">
      <c r="A47" s="31">
        <v>40583</v>
      </c>
      <c r="B47" s="26" t="s">
        <v>17</v>
      </c>
      <c r="C47" s="26" t="s">
        <v>18</v>
      </c>
      <c r="D47" s="26" t="s">
        <v>178</v>
      </c>
      <c r="E47" s="26" t="s">
        <v>9</v>
      </c>
      <c r="F47" s="26" t="s">
        <v>21</v>
      </c>
      <c r="G47" s="26">
        <v>1</v>
      </c>
      <c r="H47" s="33">
        <v>4.3541666666666599</v>
      </c>
      <c r="I47" s="33">
        <v>1.0493055555555599</v>
      </c>
      <c r="J47" s="29">
        <v>0.96274509803921626</v>
      </c>
      <c r="K47" s="27">
        <v>0.24098883572567922</v>
      </c>
      <c r="L47" s="36">
        <f>COUNTIF(F:F,F47)</f>
        <v>1</v>
      </c>
      <c r="N47" s="36">
        <f t="shared" si="0"/>
        <v>1</v>
      </c>
    </row>
    <row r="48" spans="1:14" x14ac:dyDescent="0.25">
      <c r="A48" s="31">
        <v>40582</v>
      </c>
      <c r="B48" s="26" t="s">
        <v>17</v>
      </c>
      <c r="C48" s="26" t="s">
        <v>18</v>
      </c>
      <c r="D48" s="26" t="s">
        <v>179</v>
      </c>
      <c r="E48" s="26" t="s">
        <v>9</v>
      </c>
      <c r="F48" s="26" t="s">
        <v>20</v>
      </c>
      <c r="G48" s="26">
        <v>1</v>
      </c>
      <c r="H48" s="33">
        <v>4.3125</v>
      </c>
      <c r="I48" s="33">
        <v>1.0076388888888901</v>
      </c>
      <c r="J48" s="29">
        <v>0.96274509803921626</v>
      </c>
      <c r="K48" s="27">
        <v>0.23365539452496001</v>
      </c>
      <c r="L48" s="36">
        <f>COUNTIF(F:F,F48)</f>
        <v>1</v>
      </c>
      <c r="N48" s="36">
        <f t="shared" si="0"/>
        <v>1</v>
      </c>
    </row>
    <row r="49" spans="1:14" x14ac:dyDescent="0.25">
      <c r="A49" s="31">
        <v>40581</v>
      </c>
      <c r="B49" s="26" t="s">
        <v>17</v>
      </c>
      <c r="C49" s="26" t="s">
        <v>18</v>
      </c>
      <c r="D49" s="26" t="s">
        <v>180</v>
      </c>
      <c r="E49" s="26" t="s">
        <v>9</v>
      </c>
      <c r="F49" s="26" t="s">
        <v>19</v>
      </c>
      <c r="G49" s="26">
        <v>1</v>
      </c>
      <c r="H49" s="33">
        <v>4.2708333333333304</v>
      </c>
      <c r="I49" s="33">
        <v>0.96597222222222201</v>
      </c>
      <c r="J49" s="29">
        <v>0.96274509803921626</v>
      </c>
      <c r="K49" s="27">
        <v>0.22617886178861799</v>
      </c>
      <c r="L49" s="36">
        <f>COUNTIF(F:F,F49)</f>
        <v>1</v>
      </c>
      <c r="N49" s="36">
        <f t="shared" si="0"/>
        <v>1</v>
      </c>
    </row>
    <row r="50" spans="1:14" x14ac:dyDescent="0.25">
      <c r="A50" s="31">
        <v>40580</v>
      </c>
      <c r="B50" s="26" t="s">
        <v>17</v>
      </c>
      <c r="C50" s="26" t="s">
        <v>18</v>
      </c>
      <c r="D50" s="26" t="s">
        <v>181</v>
      </c>
      <c r="E50" s="26" t="s">
        <v>9</v>
      </c>
      <c r="F50" s="26" t="s">
        <v>29</v>
      </c>
      <c r="G50" s="26">
        <v>1</v>
      </c>
      <c r="H50" s="33">
        <v>4.2291666666666599</v>
      </c>
      <c r="I50" s="33">
        <v>0.92430555555555605</v>
      </c>
      <c r="J50" s="29">
        <v>0.96274509803921626</v>
      </c>
      <c r="K50" s="27">
        <v>0.21855500821018109</v>
      </c>
      <c r="L50" s="36">
        <f>COUNTIF(F:F,F50)</f>
        <v>1</v>
      </c>
      <c r="N50" s="36">
        <f t="shared" si="0"/>
        <v>1</v>
      </c>
    </row>
    <row r="51" spans="1:14" x14ac:dyDescent="0.25">
      <c r="A51" s="31">
        <v>40579</v>
      </c>
      <c r="B51" s="26" t="s">
        <v>17</v>
      </c>
      <c r="C51" s="26" t="s">
        <v>18</v>
      </c>
      <c r="D51" s="26" t="s">
        <v>182</v>
      </c>
      <c r="E51" s="26" t="s">
        <v>9</v>
      </c>
      <c r="F51" s="26" t="s">
        <v>28</v>
      </c>
      <c r="G51" s="26">
        <v>1</v>
      </c>
      <c r="H51" s="33">
        <v>4.1875</v>
      </c>
      <c r="I51" s="33">
        <v>0.88263888888888897</v>
      </c>
      <c r="J51" s="29">
        <v>0.96274509803921626</v>
      </c>
      <c r="K51" s="27">
        <v>0.2107794361525705</v>
      </c>
      <c r="L51" s="36">
        <f>COUNTIF(F:F,F51)</f>
        <v>1</v>
      </c>
      <c r="N51" s="36">
        <f t="shared" si="0"/>
        <v>1</v>
      </c>
    </row>
    <row r="52" spans="1:14" x14ac:dyDescent="0.25">
      <c r="A52" s="31">
        <v>40578</v>
      </c>
      <c r="B52" s="26" t="s">
        <v>17</v>
      </c>
      <c r="C52" s="26" t="s">
        <v>18</v>
      </c>
      <c r="D52" s="26" t="s">
        <v>183</v>
      </c>
      <c r="E52" s="26" t="s">
        <v>7</v>
      </c>
      <c r="F52" s="26" t="s">
        <v>27</v>
      </c>
      <c r="G52" s="26">
        <v>1</v>
      </c>
      <c r="H52" s="33">
        <v>4.1458333333333304</v>
      </c>
      <c r="I52" s="33">
        <v>0.84097222222222201</v>
      </c>
      <c r="J52" s="29">
        <v>0.96274509803921626</v>
      </c>
      <c r="K52" s="27">
        <v>0.20284757118927982</v>
      </c>
      <c r="L52" s="36">
        <f>COUNTIF(F:F,F52)</f>
        <v>1</v>
      </c>
      <c r="N52" s="36">
        <f t="shared" si="0"/>
        <v>1</v>
      </c>
    </row>
    <row r="53" spans="1:14" x14ac:dyDescent="0.25">
      <c r="A53" s="31">
        <v>40577</v>
      </c>
      <c r="B53" s="26" t="s">
        <v>17</v>
      </c>
      <c r="C53" s="26" t="s">
        <v>18</v>
      </c>
      <c r="D53" s="26" t="s">
        <v>184</v>
      </c>
      <c r="E53" s="26" t="s">
        <v>9</v>
      </c>
      <c r="F53" s="26" t="s">
        <v>26</v>
      </c>
      <c r="G53" s="26">
        <v>1</v>
      </c>
      <c r="H53" s="33">
        <v>4.1041666666666599</v>
      </c>
      <c r="I53" s="33">
        <v>0.79930555555555605</v>
      </c>
      <c r="J53" s="29">
        <v>0.96274509803921626</v>
      </c>
      <c r="K53" s="27">
        <v>0.19475465313028809</v>
      </c>
      <c r="L53" s="36">
        <f>COUNTIF(F:F,F53)</f>
        <v>1</v>
      </c>
      <c r="N53" s="36">
        <f t="shared" si="0"/>
        <v>1</v>
      </c>
    </row>
    <row r="54" spans="1:14" x14ac:dyDescent="0.25">
      <c r="A54" s="31">
        <v>40576</v>
      </c>
      <c r="B54" s="26" t="s">
        <v>17</v>
      </c>
      <c r="C54" s="26" t="s">
        <v>18</v>
      </c>
      <c r="D54" s="26" t="s">
        <v>185</v>
      </c>
      <c r="E54" s="26" t="s">
        <v>9</v>
      </c>
      <c r="F54" s="26" t="s">
        <v>25</v>
      </c>
      <c r="G54" s="26">
        <v>1</v>
      </c>
      <c r="H54" s="33">
        <v>4.0625</v>
      </c>
      <c r="I54" s="33">
        <v>0.75763888888888897</v>
      </c>
      <c r="J54" s="29">
        <v>0.96274509803921626</v>
      </c>
      <c r="K54" s="27">
        <v>0.18649572649572652</v>
      </c>
      <c r="L54" s="36">
        <f>COUNTIF(F:F,F54)</f>
        <v>1</v>
      </c>
      <c r="N54" s="36">
        <f t="shared" si="0"/>
        <v>1</v>
      </c>
    </row>
    <row r="55" spans="1:14" x14ac:dyDescent="0.25">
      <c r="A55" s="31">
        <v>40575</v>
      </c>
      <c r="B55" s="26" t="s">
        <v>17</v>
      </c>
      <c r="C55" s="26" t="s">
        <v>18</v>
      </c>
      <c r="D55" s="26" t="s">
        <v>186</v>
      </c>
      <c r="E55" s="26" t="s">
        <v>9</v>
      </c>
      <c r="F55" s="26" t="s">
        <v>24</v>
      </c>
      <c r="G55" s="26">
        <v>1</v>
      </c>
      <c r="H55" s="33">
        <v>4.0208333333333304</v>
      </c>
      <c r="I55" s="33">
        <v>0.71597222222222201</v>
      </c>
      <c r="J55" s="29">
        <v>0.96274509803921626</v>
      </c>
      <c r="K55" s="27">
        <v>0.17806563039723669</v>
      </c>
      <c r="L55" s="36">
        <f>COUNTIF(F:F,F55)</f>
        <v>1</v>
      </c>
      <c r="N55" s="36">
        <f t="shared" si="0"/>
        <v>1</v>
      </c>
    </row>
    <row r="56" spans="1:14" x14ac:dyDescent="0.25">
      <c r="A56" s="31">
        <v>40574</v>
      </c>
      <c r="B56" s="26" t="s">
        <v>17</v>
      </c>
      <c r="C56" s="26" t="s">
        <v>18</v>
      </c>
      <c r="D56" s="26" t="s">
        <v>187</v>
      </c>
      <c r="E56" s="26" t="s">
        <v>9</v>
      </c>
      <c r="F56" s="26" t="s">
        <v>23</v>
      </c>
      <c r="G56" s="26">
        <v>1</v>
      </c>
      <c r="H56" s="33">
        <v>3.9791666666666599</v>
      </c>
      <c r="I56" s="33">
        <v>0.67430555555555605</v>
      </c>
      <c r="J56" s="29">
        <v>0.96274509803921626</v>
      </c>
      <c r="K56" s="27">
        <v>0.16945898778359553</v>
      </c>
      <c r="L56" s="36">
        <f>COUNTIF(F:F,F56)</f>
        <v>1</v>
      </c>
      <c r="N56" s="36">
        <f t="shared" si="0"/>
        <v>1</v>
      </c>
    </row>
    <row r="57" spans="1:14" x14ac:dyDescent="0.25">
      <c r="A57" s="31">
        <v>40611</v>
      </c>
      <c r="B57" s="26" t="s">
        <v>46</v>
      </c>
      <c r="C57" s="26" t="s">
        <v>61</v>
      </c>
      <c r="D57" s="26" t="s">
        <v>151</v>
      </c>
      <c r="E57" s="26" t="s">
        <v>62</v>
      </c>
      <c r="F57" s="26" t="s">
        <v>63</v>
      </c>
      <c r="G57" s="26">
        <v>1</v>
      </c>
      <c r="H57" s="33">
        <v>4.8125</v>
      </c>
      <c r="I57" s="33">
        <v>2.21597222222222</v>
      </c>
      <c r="J57" s="29">
        <v>0.96274509803921626</v>
      </c>
      <c r="K57" s="27">
        <v>0.46046176046176002</v>
      </c>
      <c r="L57" s="36">
        <f>COUNTIF(F:F,F57)</f>
        <v>1</v>
      </c>
      <c r="N57" s="36">
        <f t="shared" si="0"/>
        <v>1</v>
      </c>
    </row>
    <row r="58" spans="1:14" x14ac:dyDescent="0.25">
      <c r="A58" s="31">
        <v>40605</v>
      </c>
      <c r="B58" s="26" t="s">
        <v>46</v>
      </c>
      <c r="C58" s="26" t="s">
        <v>47</v>
      </c>
      <c r="D58" s="26" t="s">
        <v>157</v>
      </c>
      <c r="E58" s="26" t="s">
        <v>48</v>
      </c>
      <c r="F58" s="26" t="s">
        <v>50</v>
      </c>
      <c r="G58" s="26">
        <v>1</v>
      </c>
      <c r="H58" s="33">
        <v>4.7708333333333304</v>
      </c>
      <c r="I58" s="33">
        <v>1.96597222222222</v>
      </c>
      <c r="J58" s="29">
        <v>0.96274509803921626</v>
      </c>
      <c r="K58" s="27">
        <v>0.41208151382823849</v>
      </c>
      <c r="L58" s="36">
        <f>COUNTIF(F:F,F58)</f>
        <v>1</v>
      </c>
      <c r="N58" s="36">
        <f t="shared" si="0"/>
        <v>1</v>
      </c>
    </row>
    <row r="59" spans="1:14" x14ac:dyDescent="0.25">
      <c r="A59" s="31">
        <v>40604</v>
      </c>
      <c r="B59" s="26" t="s">
        <v>46</v>
      </c>
      <c r="C59" s="26" t="s">
        <v>47</v>
      </c>
      <c r="D59" s="26" t="s">
        <v>158</v>
      </c>
      <c r="E59" s="26" t="s">
        <v>48</v>
      </c>
      <c r="F59" s="26" t="s">
        <v>49</v>
      </c>
      <c r="G59" s="26">
        <v>1</v>
      </c>
      <c r="H59" s="33">
        <v>4.7291666666666599</v>
      </c>
      <c r="I59" s="33">
        <v>1.9243055555555599</v>
      </c>
      <c r="J59" s="29">
        <v>0.96274509803921626</v>
      </c>
      <c r="K59" s="27">
        <v>0.40690161527166085</v>
      </c>
      <c r="L59" s="36">
        <f>COUNTIF(F:F,F59)</f>
        <v>1</v>
      </c>
      <c r="N59" s="36">
        <f t="shared" si="0"/>
        <v>1</v>
      </c>
    </row>
    <row r="60" spans="1:14" x14ac:dyDescent="0.25">
      <c r="A60" s="31">
        <v>40603</v>
      </c>
      <c r="B60" s="26" t="s">
        <v>46</v>
      </c>
      <c r="C60" s="26" t="s">
        <v>47</v>
      </c>
      <c r="D60" s="26" t="s">
        <v>159</v>
      </c>
      <c r="E60" s="26" t="s">
        <v>48</v>
      </c>
      <c r="F60" s="26" t="s">
        <v>54</v>
      </c>
      <c r="G60" s="26">
        <v>1</v>
      </c>
      <c r="H60" s="33">
        <v>4.6875</v>
      </c>
      <c r="I60" s="33">
        <v>1.8826388888888901</v>
      </c>
      <c r="J60" s="29">
        <v>0.96274509803921626</v>
      </c>
      <c r="K60" s="27">
        <v>0.40162962962962989</v>
      </c>
      <c r="L60" s="36">
        <f>COUNTIF(F:F,F60)</f>
        <v>1</v>
      </c>
      <c r="N60" s="36">
        <f t="shared" si="0"/>
        <v>1</v>
      </c>
    </row>
    <row r="61" spans="1:14" x14ac:dyDescent="0.25">
      <c r="A61" s="31">
        <v>40602</v>
      </c>
      <c r="B61" s="26" t="s">
        <v>46</v>
      </c>
      <c r="C61" s="26" t="s">
        <v>47</v>
      </c>
      <c r="D61" s="26" t="s">
        <v>160</v>
      </c>
      <c r="E61" s="26" t="s">
        <v>48</v>
      </c>
      <c r="F61" s="26" t="s">
        <v>53</v>
      </c>
      <c r="G61" s="26">
        <v>1</v>
      </c>
      <c r="H61" s="33">
        <v>4.6458333333333304</v>
      </c>
      <c r="I61" s="33">
        <v>1.84097222222222</v>
      </c>
      <c r="J61" s="29">
        <v>0.96274509803921626</v>
      </c>
      <c r="K61" s="27">
        <v>0.39626307922272025</v>
      </c>
      <c r="L61" s="36">
        <f>COUNTIF(F:F,F61)</f>
        <v>1</v>
      </c>
      <c r="N61" s="36">
        <f t="shared" si="0"/>
        <v>1</v>
      </c>
    </row>
    <row r="62" spans="1:14" x14ac:dyDescent="0.25">
      <c r="A62" s="31">
        <v>40601</v>
      </c>
      <c r="B62" s="26" t="s">
        <v>46</v>
      </c>
      <c r="C62" s="26" t="s">
        <v>47</v>
      </c>
      <c r="D62" s="26" t="s">
        <v>161</v>
      </c>
      <c r="E62" s="26" t="s">
        <v>48</v>
      </c>
      <c r="F62" s="26" t="s">
        <v>52</v>
      </c>
      <c r="G62" s="26">
        <v>1</v>
      </c>
      <c r="H62" s="33">
        <v>4.6041666666666599</v>
      </c>
      <c r="I62" s="33">
        <v>1.7993055555555599</v>
      </c>
      <c r="J62" s="29">
        <v>0.96274509803921626</v>
      </c>
      <c r="K62" s="27">
        <v>0.39079939668175118</v>
      </c>
      <c r="L62" s="36">
        <f>COUNTIF(F:F,F62)</f>
        <v>1</v>
      </c>
      <c r="N62" s="36">
        <f t="shared" si="0"/>
        <v>1</v>
      </c>
    </row>
    <row r="63" spans="1:14" ht="13.8" thickBot="1" x14ac:dyDescent="0.3">
      <c r="A63" s="32">
        <v>40600</v>
      </c>
      <c r="B63" s="28" t="s">
        <v>46</v>
      </c>
      <c r="C63" s="28" t="s">
        <v>47</v>
      </c>
      <c r="D63" s="28" t="s">
        <v>162</v>
      </c>
      <c r="E63" s="28" t="s">
        <v>48</v>
      </c>
      <c r="F63" s="28" t="s">
        <v>51</v>
      </c>
      <c r="G63" s="28">
        <v>1</v>
      </c>
      <c r="H63" s="34">
        <v>4.5625</v>
      </c>
      <c r="I63" s="34">
        <v>1.7576388888888901</v>
      </c>
      <c r="J63" s="30">
        <v>0.96274509803921626</v>
      </c>
      <c r="K63" s="27">
        <v>0.38523592085235947</v>
      </c>
      <c r="L63" s="36">
        <f>COUNTIF(F:F,F63)</f>
        <v>1</v>
      </c>
      <c r="N63" s="36">
        <f t="shared" si="0"/>
        <v>1</v>
      </c>
    </row>
    <row r="64" spans="1:14" ht="13.8" thickBot="1" x14ac:dyDescent="0.3">
      <c r="A64" s="55"/>
      <c r="B64" s="56"/>
      <c r="C64" s="56"/>
      <c r="D64" s="56"/>
      <c r="E64" s="56"/>
      <c r="F64" s="56"/>
      <c r="G64" s="56"/>
      <c r="H64" s="57"/>
      <c r="I64" s="57"/>
      <c r="J64" s="30">
        <v>0.9</v>
      </c>
      <c r="K64" s="58"/>
      <c r="N64" s="36"/>
    </row>
    <row r="65" spans="1:14" ht="13.8" thickBot="1" x14ac:dyDescent="0.3">
      <c r="A65" s="69"/>
      <c r="B65" s="69"/>
      <c r="C65" s="69"/>
      <c r="D65" s="69"/>
      <c r="E65" s="69"/>
      <c r="F65" s="69"/>
      <c r="G65" s="56"/>
      <c r="H65" s="57"/>
      <c r="I65" s="57"/>
      <c r="J65" s="30">
        <v>0.89</v>
      </c>
      <c r="K65" s="58"/>
      <c r="N65" s="36"/>
    </row>
    <row r="66" spans="1:14" s="67" customFormat="1" ht="15.6" x14ac:dyDescent="0.25">
      <c r="A66" s="15" t="s">
        <v>123</v>
      </c>
      <c r="B66" s="15"/>
      <c r="C66" s="15"/>
      <c r="D66" s="15"/>
      <c r="E66" s="15"/>
      <c r="F66" s="69"/>
      <c r="G66" s="69"/>
      <c r="H66" s="70"/>
      <c r="I66" s="70"/>
      <c r="J66" s="59"/>
      <c r="K66" s="71"/>
    </row>
    <row r="67" spans="1:14" s="67" customFormat="1" ht="13.8" x14ac:dyDescent="0.25">
      <c r="A67" s="17" t="s">
        <v>93</v>
      </c>
      <c r="B67" s="17"/>
      <c r="C67" s="63" t="s">
        <v>83</v>
      </c>
      <c r="D67" s="17" t="s">
        <v>113</v>
      </c>
      <c r="E67" s="17"/>
      <c r="F67" s="69"/>
      <c r="G67" s="69"/>
      <c r="H67" s="70"/>
      <c r="I67" s="70"/>
      <c r="J67" s="59"/>
      <c r="K67" s="71"/>
    </row>
    <row r="68" spans="1:14" s="67" customFormat="1" ht="132" x14ac:dyDescent="0.25">
      <c r="A68" s="61">
        <v>1</v>
      </c>
      <c r="B68" s="64" t="s">
        <v>117</v>
      </c>
      <c r="C68" s="62" t="s">
        <v>100</v>
      </c>
      <c r="D68" s="16" t="s">
        <v>129</v>
      </c>
      <c r="E68" s="16"/>
      <c r="F68" s="69"/>
      <c r="G68" s="69"/>
      <c r="H68" s="70"/>
      <c r="I68" s="70"/>
      <c r="J68" s="59"/>
      <c r="K68" s="71"/>
    </row>
    <row r="69" spans="1:14" s="67" customFormat="1" ht="39.6" x14ac:dyDescent="0.25">
      <c r="A69" s="61">
        <v>2</v>
      </c>
      <c r="B69" s="65" t="s">
        <v>97</v>
      </c>
      <c r="C69" s="62" t="s">
        <v>96</v>
      </c>
      <c r="D69" s="16" t="s">
        <v>129</v>
      </c>
      <c r="E69" s="16"/>
      <c r="F69" s="69"/>
      <c r="G69" s="69"/>
      <c r="H69" s="70"/>
      <c r="I69" s="70"/>
      <c r="J69" s="59"/>
      <c r="K69" s="71"/>
    </row>
    <row r="70" spans="1:14" s="67" customFormat="1" x14ac:dyDescent="0.25">
      <c r="A70" s="69"/>
      <c r="B70" s="69"/>
      <c r="C70" s="69"/>
      <c r="D70" s="69"/>
      <c r="E70" s="69"/>
      <c r="F70" s="69"/>
      <c r="G70" s="69"/>
      <c r="H70" s="70"/>
      <c r="I70" s="70"/>
      <c r="J70" s="59"/>
      <c r="K70" s="71"/>
    </row>
    <row r="71" spans="1:14" x14ac:dyDescent="0.25">
      <c r="A71" s="69"/>
      <c r="B71" s="69"/>
      <c r="C71" s="69"/>
      <c r="D71" s="69"/>
      <c r="E71" s="69"/>
      <c r="F71" s="69"/>
      <c r="G71" s="14"/>
      <c r="H71" s="35"/>
      <c r="I71" s="35"/>
      <c r="N71" s="36"/>
    </row>
    <row r="72" spans="1:14" x14ac:dyDescent="0.25">
      <c r="A72" s="54" t="s">
        <v>207</v>
      </c>
      <c r="B72" t="s">
        <v>209</v>
      </c>
      <c r="C72"/>
      <c r="D72" s="14"/>
      <c r="E72" s="14"/>
      <c r="F72" s="14"/>
      <c r="G72" s="14"/>
      <c r="H72" s="35"/>
      <c r="I72" s="35"/>
      <c r="N72" s="36"/>
    </row>
    <row r="73" spans="1:14" x14ac:dyDescent="0.25">
      <c r="A73" s="50">
        <v>0.99509043927648755</v>
      </c>
      <c r="B73" s="51">
        <v>1</v>
      </c>
      <c r="C73"/>
      <c r="D73" s="14"/>
      <c r="E73" s="14"/>
      <c r="F73" s="14"/>
      <c r="G73" s="14"/>
      <c r="H73" s="35"/>
      <c r="I73" s="35"/>
      <c r="N73" s="36"/>
    </row>
    <row r="74" spans="1:14" x14ac:dyDescent="0.25">
      <c r="A74" s="50">
        <v>0.99501312335958181</v>
      </c>
      <c r="B74" s="51">
        <v>1</v>
      </c>
      <c r="C74"/>
      <c r="D74" s="14"/>
      <c r="E74" s="14"/>
      <c r="F74" s="14"/>
      <c r="G74" s="14"/>
      <c r="H74" s="35"/>
      <c r="I74" s="35"/>
      <c r="N74" s="36"/>
    </row>
    <row r="75" spans="1:14" x14ac:dyDescent="0.25">
      <c r="A75" s="50">
        <v>0.99493333333333511</v>
      </c>
      <c r="B75" s="51">
        <v>1</v>
      </c>
      <c r="C75"/>
      <c r="D75" s="14"/>
      <c r="E75" s="14"/>
      <c r="F75" s="14"/>
      <c r="G75" s="14"/>
      <c r="H75" s="35"/>
      <c r="I75" s="35"/>
      <c r="N75" s="36"/>
    </row>
    <row r="76" spans="1:14" x14ac:dyDescent="0.25">
      <c r="A76" s="50">
        <v>0.99485094850948685</v>
      </c>
      <c r="B76" s="51">
        <v>1</v>
      </c>
      <c r="C76"/>
      <c r="D76" s="14"/>
      <c r="E76" s="14"/>
      <c r="F76" s="14"/>
      <c r="G76" s="14"/>
      <c r="H76" s="35"/>
      <c r="I76" s="35"/>
      <c r="N76" s="36"/>
    </row>
    <row r="77" spans="1:14" x14ac:dyDescent="0.25">
      <c r="A77" s="50">
        <v>0.9947658402203875</v>
      </c>
      <c r="B77" s="51">
        <v>1</v>
      </c>
      <c r="C77"/>
      <c r="D77" s="14"/>
      <c r="E77" s="14"/>
      <c r="F77" s="14"/>
      <c r="G77" s="14"/>
      <c r="H77" s="35"/>
      <c r="I77" s="35"/>
      <c r="N77" s="36"/>
    </row>
    <row r="78" spans="1:14" x14ac:dyDescent="0.25">
      <c r="A78" s="50">
        <v>0.99467787114846118</v>
      </c>
      <c r="B78" s="51">
        <v>1</v>
      </c>
      <c r="C78"/>
      <c r="D78" s="14"/>
      <c r="E78" s="14"/>
      <c r="F78" s="14"/>
      <c r="G78" s="14"/>
      <c r="H78" s="35"/>
      <c r="I78" s="35"/>
      <c r="N78" s="36"/>
    </row>
    <row r="79" spans="1:14" x14ac:dyDescent="0.25">
      <c r="A79" s="50">
        <v>0.99458689458689642</v>
      </c>
      <c r="B79" s="51">
        <v>1</v>
      </c>
      <c r="C79"/>
      <c r="D79" s="14"/>
      <c r="E79" s="14"/>
      <c r="F79" s="14"/>
      <c r="G79" s="14"/>
      <c r="H79" s="35"/>
      <c r="I79" s="35"/>
      <c r="N79" s="36"/>
    </row>
    <row r="80" spans="1:14" x14ac:dyDescent="0.25">
      <c r="A80" s="50">
        <v>0.99449275362319034</v>
      </c>
      <c r="B80" s="51">
        <v>1</v>
      </c>
      <c r="C80"/>
      <c r="D80" s="14"/>
      <c r="E80" s="14"/>
      <c r="F80" s="14"/>
      <c r="G80" s="14"/>
      <c r="H80" s="35"/>
      <c r="I80" s="35"/>
      <c r="N80" s="36"/>
    </row>
    <row r="81" spans="1:14" x14ac:dyDescent="0.25">
      <c r="A81" s="50">
        <v>0.99439528023599011</v>
      </c>
      <c r="B81" s="51">
        <v>1</v>
      </c>
      <c r="C81"/>
      <c r="D81" s="14"/>
      <c r="E81" s="14"/>
      <c r="F81" s="14"/>
      <c r="G81" s="14"/>
      <c r="H81" s="35"/>
      <c r="I81" s="35"/>
      <c r="N81" s="36"/>
    </row>
    <row r="82" spans="1:14" x14ac:dyDescent="0.25">
      <c r="A82" s="50">
        <v>0.99429429429429628</v>
      </c>
      <c r="B82" s="51">
        <v>1</v>
      </c>
      <c r="C82"/>
      <c r="D82" s="14"/>
      <c r="E82" s="14"/>
      <c r="F82" s="14"/>
      <c r="G82" s="14"/>
      <c r="H82" s="35"/>
      <c r="I82" s="35"/>
      <c r="N82" s="36"/>
    </row>
    <row r="83" spans="1:14" x14ac:dyDescent="0.25">
      <c r="A83" s="50">
        <v>0.99418960244648524</v>
      </c>
      <c r="B83" s="51">
        <v>1</v>
      </c>
      <c r="C83"/>
      <c r="D83" s="14"/>
      <c r="E83" s="14"/>
      <c r="F83" s="14"/>
      <c r="G83" s="14"/>
      <c r="H83" s="35"/>
      <c r="I83" s="35"/>
      <c r="N83" s="36"/>
    </row>
    <row r="84" spans="1:14" x14ac:dyDescent="0.25">
      <c r="A84" s="50">
        <v>0.73209876543209906</v>
      </c>
      <c r="B84" s="51">
        <v>1</v>
      </c>
      <c r="C84"/>
      <c r="D84" s="14"/>
      <c r="E84" s="14"/>
      <c r="F84" s="14"/>
      <c r="G84" s="14"/>
      <c r="H84" s="35"/>
      <c r="I84" s="35"/>
      <c r="N84" s="36"/>
    </row>
    <row r="85" spans="1:14" x14ac:dyDescent="0.25">
      <c r="A85" s="50">
        <v>0.72923351158645289</v>
      </c>
      <c r="B85" s="51">
        <v>1</v>
      </c>
      <c r="C85"/>
      <c r="D85" s="14"/>
      <c r="E85" s="14"/>
      <c r="F85" s="14"/>
      <c r="G85" s="14"/>
      <c r="H85" s="35"/>
      <c r="I85" s="35"/>
      <c r="N85" s="36"/>
    </row>
    <row r="86" spans="1:14" x14ac:dyDescent="0.25">
      <c r="A86" s="50">
        <v>0.72630630630630877</v>
      </c>
      <c r="B86" s="51">
        <v>1</v>
      </c>
      <c r="C86"/>
      <c r="N86" s="36"/>
    </row>
    <row r="87" spans="1:14" x14ac:dyDescent="0.25">
      <c r="A87" s="50">
        <v>0.72331511839708595</v>
      </c>
      <c r="B87" s="51">
        <v>1</v>
      </c>
      <c r="C87"/>
      <c r="N87" s="36"/>
    </row>
    <row r="88" spans="1:14" x14ac:dyDescent="0.25">
      <c r="A88" s="50">
        <v>0.72025782688766116</v>
      </c>
      <c r="B88" s="51">
        <v>1</v>
      </c>
      <c r="C88"/>
      <c r="N88" s="36"/>
    </row>
    <row r="89" spans="1:14" x14ac:dyDescent="0.25">
      <c r="A89" s="50">
        <v>0.58305400372439709</v>
      </c>
      <c r="B89" s="51">
        <v>1</v>
      </c>
      <c r="C89"/>
      <c r="N89" s="36"/>
    </row>
    <row r="90" spans="1:14" x14ac:dyDescent="0.25">
      <c r="A90" s="50">
        <v>0.57834274952919051</v>
      </c>
      <c r="B90" s="51">
        <v>1</v>
      </c>
      <c r="N90" s="36"/>
    </row>
    <row r="91" spans="1:14" x14ac:dyDescent="0.25">
      <c r="A91" s="50">
        <v>0.57352380952380944</v>
      </c>
      <c r="B91" s="51">
        <v>1</v>
      </c>
      <c r="N91" s="36"/>
    </row>
    <row r="92" spans="1:14" x14ac:dyDescent="0.25">
      <c r="A92" s="50">
        <v>0.56859344894027208</v>
      </c>
      <c r="B92" s="51">
        <v>1</v>
      </c>
      <c r="N92" s="36"/>
    </row>
    <row r="93" spans="1:14" x14ac:dyDescent="0.25">
      <c r="A93" s="50">
        <v>0.56354775828460069</v>
      </c>
      <c r="B93" s="51">
        <v>1</v>
      </c>
      <c r="N93" s="36"/>
    </row>
    <row r="94" spans="1:14" x14ac:dyDescent="0.25">
      <c r="A94" s="50">
        <v>0.48737672583826414</v>
      </c>
      <c r="B94" s="51">
        <v>1</v>
      </c>
      <c r="N94" s="36"/>
    </row>
    <row r="95" spans="1:14" x14ac:dyDescent="0.25">
      <c r="A95" s="50">
        <v>0.48123752495010202</v>
      </c>
      <c r="B95" s="51">
        <v>1</v>
      </c>
      <c r="N95" s="36"/>
    </row>
    <row r="96" spans="1:14" x14ac:dyDescent="0.25">
      <c r="A96" s="50">
        <v>0.47494949494949529</v>
      </c>
      <c r="B96" s="51">
        <v>1</v>
      </c>
      <c r="N96" s="36"/>
    </row>
    <row r="97" spans="1:14" x14ac:dyDescent="0.25">
      <c r="A97" s="50">
        <v>0.46850715746421251</v>
      </c>
      <c r="B97" s="51">
        <v>1</v>
      </c>
      <c r="N97" s="36"/>
    </row>
    <row r="98" spans="1:14" x14ac:dyDescent="0.25">
      <c r="A98" s="50">
        <v>0.46190476190476415</v>
      </c>
      <c r="B98" s="51">
        <v>1</v>
      </c>
      <c r="N98" s="36"/>
    </row>
    <row r="99" spans="1:14" x14ac:dyDescent="0.25">
      <c r="A99" s="50">
        <v>0.46046176046176002</v>
      </c>
      <c r="B99" s="51">
        <v>1</v>
      </c>
      <c r="N99" s="36"/>
    </row>
    <row r="100" spans="1:14" x14ac:dyDescent="0.25">
      <c r="A100" s="50">
        <v>0.45513626834381588</v>
      </c>
      <c r="B100" s="51">
        <v>1</v>
      </c>
      <c r="N100" s="36"/>
    </row>
    <row r="101" spans="1:14" x14ac:dyDescent="0.25">
      <c r="A101" s="50">
        <v>0.44819532908704862</v>
      </c>
      <c r="B101" s="51">
        <v>1</v>
      </c>
      <c r="N101" s="36"/>
    </row>
    <row r="102" spans="1:14" x14ac:dyDescent="0.25">
      <c r="A102" s="50">
        <v>0.4410752688172066</v>
      </c>
      <c r="B102" s="51">
        <v>1</v>
      </c>
      <c r="N102" s="36"/>
    </row>
    <row r="103" spans="1:14" x14ac:dyDescent="0.25">
      <c r="A103" s="50">
        <v>0.43376906318082825</v>
      </c>
      <c r="B103" s="51">
        <v>1</v>
      </c>
      <c r="N103" s="36"/>
    </row>
    <row r="104" spans="1:14" x14ac:dyDescent="0.25">
      <c r="A104" s="50">
        <v>0.42626931567328896</v>
      </c>
      <c r="B104" s="51">
        <v>1</v>
      </c>
      <c r="N104" s="36"/>
    </row>
    <row r="105" spans="1:14" x14ac:dyDescent="0.25">
      <c r="A105" s="50">
        <v>0.41856823266219473</v>
      </c>
      <c r="B105" s="51">
        <v>1</v>
      </c>
      <c r="N105" s="36"/>
    </row>
    <row r="106" spans="1:14" x14ac:dyDescent="0.25">
      <c r="A106" s="50">
        <v>0.41208151382823849</v>
      </c>
      <c r="B106" s="51">
        <v>1</v>
      </c>
      <c r="N106" s="36"/>
    </row>
    <row r="107" spans="1:14" x14ac:dyDescent="0.25">
      <c r="A107" s="50">
        <v>0.41065759637188248</v>
      </c>
      <c r="B107" s="51">
        <v>1</v>
      </c>
      <c r="N107" s="36"/>
    </row>
    <row r="108" spans="1:14" x14ac:dyDescent="0.25">
      <c r="A108" s="50">
        <v>0.40690161527166085</v>
      </c>
      <c r="B108" s="51">
        <v>1</v>
      </c>
      <c r="N108" s="36"/>
    </row>
    <row r="109" spans="1:14" x14ac:dyDescent="0.25">
      <c r="A109" s="50">
        <v>0.40162962962962989</v>
      </c>
      <c r="B109" s="51">
        <v>1</v>
      </c>
      <c r="N109" s="36"/>
    </row>
    <row r="110" spans="1:14" x14ac:dyDescent="0.25">
      <c r="A110" s="50">
        <v>0.39626307922272025</v>
      </c>
      <c r="B110" s="51">
        <v>1</v>
      </c>
      <c r="N110" s="36"/>
    </row>
    <row r="111" spans="1:14" x14ac:dyDescent="0.25">
      <c r="A111" s="50">
        <v>0.26897081413210416</v>
      </c>
      <c r="B111" s="51">
        <v>1</v>
      </c>
      <c r="N111" s="36"/>
    </row>
    <row r="112" spans="1:14" x14ac:dyDescent="0.25">
      <c r="A112" s="50">
        <v>0.26217054263566031</v>
      </c>
      <c r="B112" s="51">
        <v>1</v>
      </c>
      <c r="N112" s="36"/>
    </row>
    <row r="113" spans="1:14" x14ac:dyDescent="0.25">
      <c r="A113" s="50">
        <v>0.25524256651017241</v>
      </c>
      <c r="B113" s="51">
        <v>1</v>
      </c>
      <c r="N113" s="36"/>
    </row>
    <row r="114" spans="1:14" x14ac:dyDescent="0.25">
      <c r="A114" s="50">
        <v>0.24818325434439145</v>
      </c>
      <c r="B114" s="51">
        <v>1</v>
      </c>
      <c r="N114" s="36"/>
    </row>
    <row r="115" spans="1:14" x14ac:dyDescent="0.25">
      <c r="A115" s="50">
        <v>0.24098883572567922</v>
      </c>
      <c r="B115" s="51">
        <v>1</v>
      </c>
      <c r="N115" s="36"/>
    </row>
    <row r="116" spans="1:14" x14ac:dyDescent="0.25">
      <c r="A116" s="50">
        <v>0.23365539452496001</v>
      </c>
      <c r="B116" s="51">
        <v>1</v>
      </c>
    </row>
    <row r="117" spans="1:14" x14ac:dyDescent="0.25">
      <c r="A117" s="50">
        <v>0.22617886178861799</v>
      </c>
      <c r="B117" s="51">
        <v>1</v>
      </c>
    </row>
    <row r="118" spans="1:14" x14ac:dyDescent="0.25">
      <c r="A118" s="50">
        <v>0.21855500821018109</v>
      </c>
      <c r="B118" s="51">
        <v>1</v>
      </c>
    </row>
    <row r="119" spans="1:14" x14ac:dyDescent="0.25">
      <c r="A119" s="50">
        <v>0.2107794361525705</v>
      </c>
      <c r="B119" s="51">
        <v>1</v>
      </c>
    </row>
    <row r="120" spans="1:14" x14ac:dyDescent="0.25">
      <c r="A120" s="50">
        <v>0.2094252873563221</v>
      </c>
      <c r="B120" s="51">
        <v>1</v>
      </c>
    </row>
    <row r="121" spans="1:14" x14ac:dyDescent="0.25">
      <c r="A121" s="50">
        <v>0.20284757118927982</v>
      </c>
      <c r="B121" s="51">
        <v>1</v>
      </c>
    </row>
    <row r="122" spans="1:14" x14ac:dyDescent="0.25">
      <c r="A122" s="50">
        <v>0.19836829836829875</v>
      </c>
      <c r="B122" s="51">
        <v>1</v>
      </c>
    </row>
    <row r="123" spans="1:14" x14ac:dyDescent="0.25">
      <c r="A123" s="50">
        <v>0.19475465313028809</v>
      </c>
      <c r="B123" s="51">
        <v>1</v>
      </c>
    </row>
    <row r="124" spans="1:14" x14ac:dyDescent="0.25">
      <c r="A124" s="50">
        <v>0.18699763593380631</v>
      </c>
      <c r="B124" s="51">
        <v>1</v>
      </c>
    </row>
    <row r="125" spans="1:14" x14ac:dyDescent="0.25">
      <c r="A125" s="50">
        <v>0.18649572649572652</v>
      </c>
      <c r="B125" s="51">
        <v>1</v>
      </c>
    </row>
    <row r="126" spans="1:14" x14ac:dyDescent="0.25">
      <c r="A126" s="50">
        <v>0.17806563039723669</v>
      </c>
      <c r="B126" s="51">
        <v>1</v>
      </c>
    </row>
    <row r="127" spans="1:14" x14ac:dyDescent="0.25">
      <c r="A127" s="50">
        <v>0.17529976019184676</v>
      </c>
      <c r="B127" s="51">
        <v>1</v>
      </c>
    </row>
    <row r="128" spans="1:14" x14ac:dyDescent="0.25">
      <c r="A128" s="50">
        <v>0.16945898778359553</v>
      </c>
      <c r="B128" s="51">
        <v>1</v>
      </c>
    </row>
    <row r="129" spans="1:127" x14ac:dyDescent="0.25">
      <c r="A129" s="50">
        <v>0.16326034063260372</v>
      </c>
      <c r="B129" s="51">
        <v>1</v>
      </c>
    </row>
    <row r="130" spans="1:127" x14ac:dyDescent="0.25">
      <c r="A130" s="50">
        <v>0.15086419753086436</v>
      </c>
      <c r="B130" s="51">
        <v>1</v>
      </c>
    </row>
    <row r="131" spans="1:127" x14ac:dyDescent="0.25">
      <c r="A131" s="50">
        <v>0.1380952380952383</v>
      </c>
      <c r="B131" s="51">
        <v>1</v>
      </c>
    </row>
    <row r="132" spans="1:127" x14ac:dyDescent="0.25">
      <c r="A132" s="50">
        <v>0.12493638676844823</v>
      </c>
      <c r="B132" s="51">
        <v>1</v>
      </c>
    </row>
    <row r="133" spans="1:127" x14ac:dyDescent="0.25">
      <c r="A133" s="50" t="s">
        <v>208</v>
      </c>
      <c r="B133" s="51">
        <v>60</v>
      </c>
    </row>
    <row r="135" spans="1:127" ht="15.6" x14ac:dyDescent="0.25">
      <c r="A135" s="15" t="s">
        <v>124</v>
      </c>
      <c r="B135" s="15"/>
      <c r="C135" s="15"/>
      <c r="D135" s="15"/>
      <c r="E135" s="15"/>
    </row>
    <row r="136" spans="1:127" ht="13.8" x14ac:dyDescent="0.25">
      <c r="A136" s="17" t="s">
        <v>93</v>
      </c>
      <c r="B136" s="17"/>
      <c r="C136" s="63" t="s">
        <v>83</v>
      </c>
      <c r="D136" s="17" t="s">
        <v>113</v>
      </c>
      <c r="E136" s="17"/>
    </row>
    <row r="137" spans="1:127" ht="145.19999999999999" x14ac:dyDescent="0.25">
      <c r="A137" s="61">
        <v>1</v>
      </c>
      <c r="B137" s="65" t="s">
        <v>111</v>
      </c>
      <c r="C137" s="66" t="s">
        <v>134</v>
      </c>
      <c r="D137" s="16" t="s">
        <v>129</v>
      </c>
      <c r="E137" s="16"/>
    </row>
    <row r="140" spans="1:127" x14ac:dyDescent="0.25">
      <c r="A140" s="72" t="s">
        <v>209</v>
      </c>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row>
    <row r="141" spans="1:127" x14ac:dyDescent="0.25">
      <c r="A141" s="73"/>
      <c r="B141" s="73"/>
      <c r="C141" s="73"/>
      <c r="D141" s="76">
        <v>0.12493638676844823</v>
      </c>
      <c r="E141" s="76">
        <v>0.1380952380952383</v>
      </c>
      <c r="F141" s="76">
        <v>0.15086419753086436</v>
      </c>
      <c r="G141" s="76">
        <v>0.16326034063260372</v>
      </c>
      <c r="H141" s="76">
        <v>0.16945898778359553</v>
      </c>
      <c r="I141" s="76">
        <v>0.17529976019184676</v>
      </c>
      <c r="J141" s="76">
        <v>0.17806563039723669</v>
      </c>
      <c r="K141" s="76">
        <v>0.18649572649572652</v>
      </c>
      <c r="L141" s="76">
        <v>0.18699763593380631</v>
      </c>
      <c r="M141" s="76">
        <v>0.19475465313028809</v>
      </c>
      <c r="N141" s="76">
        <v>0.19836829836829875</v>
      </c>
      <c r="O141" s="76">
        <v>0.20284757118927982</v>
      </c>
      <c r="P141" s="76">
        <v>0.2094252873563221</v>
      </c>
      <c r="Q141" s="76">
        <v>0.2107794361525705</v>
      </c>
      <c r="R141" s="76">
        <v>0.21855500821018109</v>
      </c>
      <c r="S141" s="76">
        <v>0.22617886178861799</v>
      </c>
      <c r="T141" s="76">
        <v>0.23365539452496001</v>
      </c>
      <c r="U141" s="76">
        <v>0.24098883572567922</v>
      </c>
      <c r="V141" s="76">
        <v>0.24818325434439145</v>
      </c>
      <c r="W141" s="76">
        <v>0.25524256651017241</v>
      </c>
      <c r="X141" s="76">
        <v>0.26217054263566031</v>
      </c>
      <c r="Y141" s="76">
        <v>0.26897081413210416</v>
      </c>
      <c r="Z141" s="76">
        <v>0.38523592085235947</v>
      </c>
      <c r="AA141" s="76">
        <v>0.39079939668175118</v>
      </c>
      <c r="AB141" s="76">
        <v>0.39626307922272025</v>
      </c>
      <c r="AC141" s="76">
        <v>0.40162962962962989</v>
      </c>
      <c r="AD141" s="76">
        <v>0.40690161527166085</v>
      </c>
      <c r="AE141" s="76">
        <v>0.41065759637188248</v>
      </c>
      <c r="AF141" s="76">
        <v>0.41208151382823849</v>
      </c>
      <c r="AG141" s="76">
        <v>0.41856823266219473</v>
      </c>
      <c r="AH141" s="76">
        <v>0.42626931567328896</v>
      </c>
      <c r="AI141" s="76">
        <v>0.43376906318082825</v>
      </c>
      <c r="AJ141" s="76">
        <v>0.4410752688172066</v>
      </c>
      <c r="AK141" s="76">
        <v>0.44819532908704862</v>
      </c>
      <c r="AL141" s="76">
        <v>0.45513626834381588</v>
      </c>
      <c r="AM141" s="76">
        <v>0.46046176046176002</v>
      </c>
      <c r="AN141" s="76">
        <v>0.46190476190476415</v>
      </c>
      <c r="AO141" s="76">
        <v>0.46850715746421251</v>
      </c>
      <c r="AP141" s="76">
        <v>0.47494949494949529</v>
      </c>
      <c r="AQ141" s="76">
        <v>0.48123752495010202</v>
      </c>
      <c r="AR141" s="76">
        <v>0.48737672583826414</v>
      </c>
      <c r="AS141" s="76">
        <v>0.56354775828460069</v>
      </c>
      <c r="AT141" s="76">
        <v>0.56859344894027208</v>
      </c>
      <c r="AU141" s="76">
        <v>0.57352380952380944</v>
      </c>
      <c r="AV141" s="76">
        <v>0.57834274952919051</v>
      </c>
      <c r="AW141" s="76">
        <v>0.58305400372439709</v>
      </c>
      <c r="AX141" s="76">
        <v>0.72025782688766116</v>
      </c>
      <c r="AY141" s="76">
        <v>0.72331511839708595</v>
      </c>
      <c r="AZ141" s="76">
        <v>0.72630630630630877</v>
      </c>
      <c r="BA141" s="76">
        <v>0.72923351158645289</v>
      </c>
      <c r="BB141" s="76">
        <v>0.73209876543209906</v>
      </c>
      <c r="BC141" s="76">
        <v>0.99418960244648524</v>
      </c>
      <c r="BD141" s="76">
        <v>0.99429429429429628</v>
      </c>
      <c r="BE141" s="76">
        <v>0.99439528023599011</v>
      </c>
      <c r="BF141" s="76">
        <v>0.99449275362319034</v>
      </c>
      <c r="BG141" s="76">
        <v>0.99458689458689642</v>
      </c>
      <c r="BH141" s="76">
        <v>0.99467787114846118</v>
      </c>
      <c r="BI141" s="76">
        <v>0.9947658402203875</v>
      </c>
      <c r="BJ141" s="76">
        <v>0.99485094850948685</v>
      </c>
      <c r="BK141" s="76">
        <v>0.99493333333333511</v>
      </c>
      <c r="BL141" s="76">
        <v>0.99501312335958181</v>
      </c>
      <c r="BM141" s="76">
        <v>0.99509043927648755</v>
      </c>
      <c r="BN141" s="76" t="s">
        <v>208</v>
      </c>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row>
    <row r="142" spans="1:127" x14ac:dyDescent="0.25">
      <c r="A142" s="75" t="s">
        <v>6</v>
      </c>
      <c r="B142" s="75" t="s">
        <v>5</v>
      </c>
      <c r="C142" s="66" t="s">
        <v>8</v>
      </c>
      <c r="D142" s="68">
        <v>1</v>
      </c>
      <c r="E142" s="68">
        <v>0</v>
      </c>
      <c r="F142" s="68">
        <v>0</v>
      </c>
      <c r="G142" s="68">
        <v>0</v>
      </c>
      <c r="H142" s="68">
        <v>0</v>
      </c>
      <c r="I142" s="68">
        <v>0</v>
      </c>
      <c r="J142" s="68">
        <v>0</v>
      </c>
      <c r="K142" s="68">
        <v>0</v>
      </c>
      <c r="L142" s="68">
        <v>0</v>
      </c>
      <c r="M142" s="68">
        <v>0</v>
      </c>
      <c r="N142" s="68">
        <v>0</v>
      </c>
      <c r="O142" s="68">
        <v>0</v>
      </c>
      <c r="P142" s="68">
        <v>0</v>
      </c>
      <c r="Q142" s="68">
        <v>0</v>
      </c>
      <c r="R142" s="68">
        <v>0</v>
      </c>
      <c r="S142" s="68">
        <v>0</v>
      </c>
      <c r="T142" s="68">
        <v>0</v>
      </c>
      <c r="U142" s="68">
        <v>0</v>
      </c>
      <c r="V142" s="68">
        <v>0</v>
      </c>
      <c r="W142" s="68">
        <v>0</v>
      </c>
      <c r="X142" s="68">
        <v>0</v>
      </c>
      <c r="Y142" s="68">
        <v>0</v>
      </c>
      <c r="Z142" s="68">
        <v>0</v>
      </c>
      <c r="AA142" s="68">
        <v>0</v>
      </c>
      <c r="AB142" s="68">
        <v>0</v>
      </c>
      <c r="AC142" s="68">
        <v>0</v>
      </c>
      <c r="AD142" s="68">
        <v>0</v>
      </c>
      <c r="AE142" s="68">
        <v>0</v>
      </c>
      <c r="AF142" s="68">
        <v>0</v>
      </c>
      <c r="AG142" s="68">
        <v>0</v>
      </c>
      <c r="AH142" s="68">
        <v>0</v>
      </c>
      <c r="AI142" s="68">
        <v>0</v>
      </c>
      <c r="AJ142" s="68">
        <v>0</v>
      </c>
      <c r="AK142" s="68">
        <v>0</v>
      </c>
      <c r="AL142" s="68">
        <v>0</v>
      </c>
      <c r="AM142" s="68">
        <v>0</v>
      </c>
      <c r="AN142" s="68">
        <v>0</v>
      </c>
      <c r="AO142" s="68">
        <v>0</v>
      </c>
      <c r="AP142" s="68">
        <v>0</v>
      </c>
      <c r="AQ142" s="68">
        <v>0</v>
      </c>
      <c r="AR142" s="68">
        <v>0</v>
      </c>
      <c r="AS142" s="68">
        <v>0</v>
      </c>
      <c r="AT142" s="68">
        <v>0</v>
      </c>
      <c r="AU142" s="68">
        <v>0</v>
      </c>
      <c r="AV142" s="68">
        <v>0</v>
      </c>
      <c r="AW142" s="68">
        <v>0</v>
      </c>
      <c r="AX142" s="68">
        <v>0</v>
      </c>
      <c r="AY142" s="68">
        <v>0</v>
      </c>
      <c r="AZ142" s="68">
        <v>0</v>
      </c>
      <c r="BA142" s="68">
        <v>0</v>
      </c>
      <c r="BB142" s="68">
        <v>0</v>
      </c>
      <c r="BC142" s="68">
        <v>0</v>
      </c>
      <c r="BD142" s="68">
        <v>0</v>
      </c>
      <c r="BE142" s="68">
        <v>0</v>
      </c>
      <c r="BF142" s="68">
        <v>0</v>
      </c>
      <c r="BG142" s="68">
        <v>0</v>
      </c>
      <c r="BH142" s="68">
        <v>0</v>
      </c>
      <c r="BI142" s="68">
        <v>0</v>
      </c>
      <c r="BJ142" s="68">
        <v>0</v>
      </c>
      <c r="BK142" s="68">
        <v>0</v>
      </c>
      <c r="BL142" s="68">
        <v>0</v>
      </c>
      <c r="BM142" s="68">
        <v>0</v>
      </c>
      <c r="BN142" s="68">
        <v>1</v>
      </c>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row>
    <row r="143" spans="1:127" x14ac:dyDescent="0.25">
      <c r="A143" s="74"/>
      <c r="B143" s="74"/>
      <c r="C143" s="66" t="s">
        <v>10</v>
      </c>
      <c r="D143" s="68">
        <v>0</v>
      </c>
      <c r="E143" s="68">
        <v>1</v>
      </c>
      <c r="F143" s="68">
        <v>0</v>
      </c>
      <c r="G143" s="68">
        <v>0</v>
      </c>
      <c r="H143" s="68">
        <v>0</v>
      </c>
      <c r="I143" s="68">
        <v>0</v>
      </c>
      <c r="J143" s="68">
        <v>0</v>
      </c>
      <c r="K143" s="68">
        <v>0</v>
      </c>
      <c r="L143" s="68">
        <v>0</v>
      </c>
      <c r="M143" s="68">
        <v>0</v>
      </c>
      <c r="N143" s="68">
        <v>0</v>
      </c>
      <c r="O143" s="68">
        <v>0</v>
      </c>
      <c r="P143" s="68">
        <v>0</v>
      </c>
      <c r="Q143" s="68">
        <v>0</v>
      </c>
      <c r="R143" s="68">
        <v>0</v>
      </c>
      <c r="S143" s="68">
        <v>0</v>
      </c>
      <c r="T143" s="68">
        <v>0</v>
      </c>
      <c r="U143" s="68">
        <v>0</v>
      </c>
      <c r="V143" s="68">
        <v>0</v>
      </c>
      <c r="W143" s="68">
        <v>0</v>
      </c>
      <c r="X143" s="68">
        <v>0</v>
      </c>
      <c r="Y143" s="68">
        <v>0</v>
      </c>
      <c r="Z143" s="68">
        <v>0</v>
      </c>
      <c r="AA143" s="68">
        <v>0</v>
      </c>
      <c r="AB143" s="68">
        <v>0</v>
      </c>
      <c r="AC143" s="68">
        <v>0</v>
      </c>
      <c r="AD143" s="68">
        <v>0</v>
      </c>
      <c r="AE143" s="68">
        <v>0</v>
      </c>
      <c r="AF143" s="68">
        <v>0</v>
      </c>
      <c r="AG143" s="68">
        <v>0</v>
      </c>
      <c r="AH143" s="68">
        <v>0</v>
      </c>
      <c r="AI143" s="68">
        <v>0</v>
      </c>
      <c r="AJ143" s="68">
        <v>0</v>
      </c>
      <c r="AK143" s="68">
        <v>0</v>
      </c>
      <c r="AL143" s="68">
        <v>0</v>
      </c>
      <c r="AM143" s="68">
        <v>0</v>
      </c>
      <c r="AN143" s="68">
        <v>0</v>
      </c>
      <c r="AO143" s="68">
        <v>0</v>
      </c>
      <c r="AP143" s="68">
        <v>0</v>
      </c>
      <c r="AQ143" s="68">
        <v>0</v>
      </c>
      <c r="AR143" s="68">
        <v>0</v>
      </c>
      <c r="AS143" s="68">
        <v>0</v>
      </c>
      <c r="AT143" s="68">
        <v>0</v>
      </c>
      <c r="AU143" s="68">
        <v>0</v>
      </c>
      <c r="AV143" s="68">
        <v>0</v>
      </c>
      <c r="AW143" s="68">
        <v>0</v>
      </c>
      <c r="AX143" s="68">
        <v>0</v>
      </c>
      <c r="AY143" s="68">
        <v>0</v>
      </c>
      <c r="AZ143" s="68">
        <v>0</v>
      </c>
      <c r="BA143" s="68">
        <v>0</v>
      </c>
      <c r="BB143" s="68">
        <v>0</v>
      </c>
      <c r="BC143" s="68">
        <v>0</v>
      </c>
      <c r="BD143" s="68">
        <v>0</v>
      </c>
      <c r="BE143" s="68">
        <v>0</v>
      </c>
      <c r="BF143" s="68">
        <v>0</v>
      </c>
      <c r="BG143" s="68">
        <v>0</v>
      </c>
      <c r="BH143" s="68">
        <v>0</v>
      </c>
      <c r="BI143" s="68">
        <v>0</v>
      </c>
      <c r="BJ143" s="68">
        <v>0</v>
      </c>
      <c r="BK143" s="68">
        <v>0</v>
      </c>
      <c r="BL143" s="68">
        <v>0</v>
      </c>
      <c r="BM143" s="68">
        <v>0</v>
      </c>
      <c r="BN143" s="68">
        <v>1</v>
      </c>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row>
    <row r="144" spans="1:127" x14ac:dyDescent="0.25">
      <c r="A144" s="74"/>
      <c r="B144" s="74"/>
      <c r="C144" s="66" t="s">
        <v>11</v>
      </c>
      <c r="D144" s="68">
        <v>0</v>
      </c>
      <c r="E144" s="68">
        <v>0</v>
      </c>
      <c r="F144" s="68">
        <v>1</v>
      </c>
      <c r="G144" s="68">
        <v>0</v>
      </c>
      <c r="H144" s="68">
        <v>0</v>
      </c>
      <c r="I144" s="68">
        <v>0</v>
      </c>
      <c r="J144" s="68">
        <v>0</v>
      </c>
      <c r="K144" s="68">
        <v>0</v>
      </c>
      <c r="L144" s="68">
        <v>0</v>
      </c>
      <c r="M144" s="68">
        <v>0</v>
      </c>
      <c r="N144" s="68">
        <v>0</v>
      </c>
      <c r="O144" s="68">
        <v>0</v>
      </c>
      <c r="P144" s="68">
        <v>0</v>
      </c>
      <c r="Q144" s="68">
        <v>0</v>
      </c>
      <c r="R144" s="68">
        <v>0</v>
      </c>
      <c r="S144" s="68">
        <v>0</v>
      </c>
      <c r="T144" s="68">
        <v>0</v>
      </c>
      <c r="U144" s="68">
        <v>0</v>
      </c>
      <c r="V144" s="68">
        <v>0</v>
      </c>
      <c r="W144" s="68">
        <v>0</v>
      </c>
      <c r="X144" s="68">
        <v>0</v>
      </c>
      <c r="Y144" s="68">
        <v>0</v>
      </c>
      <c r="Z144" s="68">
        <v>0</v>
      </c>
      <c r="AA144" s="68">
        <v>0</v>
      </c>
      <c r="AB144" s="68">
        <v>0</v>
      </c>
      <c r="AC144" s="68">
        <v>0</v>
      </c>
      <c r="AD144" s="68">
        <v>0</v>
      </c>
      <c r="AE144" s="68">
        <v>0</v>
      </c>
      <c r="AF144" s="68">
        <v>0</v>
      </c>
      <c r="AG144" s="68">
        <v>0</v>
      </c>
      <c r="AH144" s="68">
        <v>0</v>
      </c>
      <c r="AI144" s="68">
        <v>0</v>
      </c>
      <c r="AJ144" s="68">
        <v>0</v>
      </c>
      <c r="AK144" s="68">
        <v>0</v>
      </c>
      <c r="AL144" s="68">
        <v>0</v>
      </c>
      <c r="AM144" s="68">
        <v>0</v>
      </c>
      <c r="AN144" s="68">
        <v>0</v>
      </c>
      <c r="AO144" s="68">
        <v>0</v>
      </c>
      <c r="AP144" s="68">
        <v>0</v>
      </c>
      <c r="AQ144" s="68">
        <v>0</v>
      </c>
      <c r="AR144" s="68">
        <v>0</v>
      </c>
      <c r="AS144" s="68">
        <v>0</v>
      </c>
      <c r="AT144" s="68">
        <v>0</v>
      </c>
      <c r="AU144" s="68">
        <v>0</v>
      </c>
      <c r="AV144" s="68">
        <v>0</v>
      </c>
      <c r="AW144" s="68">
        <v>0</v>
      </c>
      <c r="AX144" s="68">
        <v>0</v>
      </c>
      <c r="AY144" s="68">
        <v>0</v>
      </c>
      <c r="AZ144" s="68">
        <v>0</v>
      </c>
      <c r="BA144" s="68">
        <v>0</v>
      </c>
      <c r="BB144" s="68">
        <v>0</v>
      </c>
      <c r="BC144" s="68">
        <v>0</v>
      </c>
      <c r="BD144" s="68">
        <v>0</v>
      </c>
      <c r="BE144" s="68">
        <v>0</v>
      </c>
      <c r="BF144" s="68">
        <v>0</v>
      </c>
      <c r="BG144" s="68">
        <v>0</v>
      </c>
      <c r="BH144" s="68">
        <v>0</v>
      </c>
      <c r="BI144" s="68">
        <v>0</v>
      </c>
      <c r="BJ144" s="68">
        <v>0</v>
      </c>
      <c r="BK144" s="68">
        <v>0</v>
      </c>
      <c r="BL144" s="68">
        <v>0</v>
      </c>
      <c r="BM144" s="68">
        <v>0</v>
      </c>
      <c r="BN144" s="68">
        <v>1</v>
      </c>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row>
    <row r="145" spans="1:127" x14ac:dyDescent="0.25">
      <c r="A145" s="74"/>
      <c r="B145" s="74"/>
      <c r="C145" s="66" t="s">
        <v>12</v>
      </c>
      <c r="D145" s="68">
        <v>0</v>
      </c>
      <c r="E145" s="68">
        <v>0</v>
      </c>
      <c r="F145" s="68">
        <v>0</v>
      </c>
      <c r="G145" s="68">
        <v>1</v>
      </c>
      <c r="H145" s="68">
        <v>0</v>
      </c>
      <c r="I145" s="68">
        <v>0</v>
      </c>
      <c r="J145" s="68">
        <v>0</v>
      </c>
      <c r="K145" s="68">
        <v>0</v>
      </c>
      <c r="L145" s="68">
        <v>0</v>
      </c>
      <c r="M145" s="68">
        <v>0</v>
      </c>
      <c r="N145" s="68">
        <v>0</v>
      </c>
      <c r="O145" s="68">
        <v>0</v>
      </c>
      <c r="P145" s="68">
        <v>0</v>
      </c>
      <c r="Q145" s="68">
        <v>0</v>
      </c>
      <c r="R145" s="68">
        <v>0</v>
      </c>
      <c r="S145" s="68">
        <v>0</v>
      </c>
      <c r="T145" s="68">
        <v>0</v>
      </c>
      <c r="U145" s="68">
        <v>0</v>
      </c>
      <c r="V145" s="68">
        <v>0</v>
      </c>
      <c r="W145" s="68">
        <v>0</v>
      </c>
      <c r="X145" s="68">
        <v>0</v>
      </c>
      <c r="Y145" s="68">
        <v>0</v>
      </c>
      <c r="Z145" s="68">
        <v>0</v>
      </c>
      <c r="AA145" s="68">
        <v>0</v>
      </c>
      <c r="AB145" s="68">
        <v>0</v>
      </c>
      <c r="AC145" s="68">
        <v>0</v>
      </c>
      <c r="AD145" s="68">
        <v>0</v>
      </c>
      <c r="AE145" s="68">
        <v>0</v>
      </c>
      <c r="AF145" s="68">
        <v>0</v>
      </c>
      <c r="AG145" s="68">
        <v>0</v>
      </c>
      <c r="AH145" s="68">
        <v>0</v>
      </c>
      <c r="AI145" s="68">
        <v>0</v>
      </c>
      <c r="AJ145" s="68">
        <v>0</v>
      </c>
      <c r="AK145" s="68">
        <v>0</v>
      </c>
      <c r="AL145" s="68">
        <v>0</v>
      </c>
      <c r="AM145" s="68">
        <v>0</v>
      </c>
      <c r="AN145" s="68">
        <v>0</v>
      </c>
      <c r="AO145" s="68">
        <v>0</v>
      </c>
      <c r="AP145" s="68">
        <v>0</v>
      </c>
      <c r="AQ145" s="68">
        <v>0</v>
      </c>
      <c r="AR145" s="68">
        <v>0</v>
      </c>
      <c r="AS145" s="68">
        <v>0</v>
      </c>
      <c r="AT145" s="68">
        <v>0</v>
      </c>
      <c r="AU145" s="68">
        <v>0</v>
      </c>
      <c r="AV145" s="68">
        <v>0</v>
      </c>
      <c r="AW145" s="68">
        <v>0</v>
      </c>
      <c r="AX145" s="68">
        <v>0</v>
      </c>
      <c r="AY145" s="68">
        <v>0</v>
      </c>
      <c r="AZ145" s="68">
        <v>0</v>
      </c>
      <c r="BA145" s="68">
        <v>0</v>
      </c>
      <c r="BB145" s="68">
        <v>0</v>
      </c>
      <c r="BC145" s="68">
        <v>0</v>
      </c>
      <c r="BD145" s="68">
        <v>0</v>
      </c>
      <c r="BE145" s="68">
        <v>0</v>
      </c>
      <c r="BF145" s="68">
        <v>0</v>
      </c>
      <c r="BG145" s="68">
        <v>0</v>
      </c>
      <c r="BH145" s="68">
        <v>0</v>
      </c>
      <c r="BI145" s="68">
        <v>0</v>
      </c>
      <c r="BJ145" s="68">
        <v>0</v>
      </c>
      <c r="BK145" s="68">
        <v>0</v>
      </c>
      <c r="BL145" s="68">
        <v>0</v>
      </c>
      <c r="BM145" s="68">
        <v>0</v>
      </c>
      <c r="BN145" s="68">
        <v>1</v>
      </c>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row>
    <row r="146" spans="1:127" x14ac:dyDescent="0.25">
      <c r="A146" s="74"/>
      <c r="B146" s="74"/>
      <c r="C146" s="66" t="s">
        <v>13</v>
      </c>
      <c r="D146" s="68">
        <v>0</v>
      </c>
      <c r="E146" s="68">
        <v>0</v>
      </c>
      <c r="F146" s="68">
        <v>0</v>
      </c>
      <c r="G146" s="68">
        <v>0</v>
      </c>
      <c r="H146" s="68">
        <v>0</v>
      </c>
      <c r="I146" s="68">
        <v>1</v>
      </c>
      <c r="J146" s="68">
        <v>0</v>
      </c>
      <c r="K146" s="68">
        <v>0</v>
      </c>
      <c r="L146" s="68">
        <v>0</v>
      </c>
      <c r="M146" s="68">
        <v>0</v>
      </c>
      <c r="N146" s="68">
        <v>0</v>
      </c>
      <c r="O146" s="68">
        <v>0</v>
      </c>
      <c r="P146" s="68">
        <v>0</v>
      </c>
      <c r="Q146" s="68">
        <v>0</v>
      </c>
      <c r="R146" s="68">
        <v>0</v>
      </c>
      <c r="S146" s="68">
        <v>0</v>
      </c>
      <c r="T146" s="68">
        <v>0</v>
      </c>
      <c r="U146" s="68">
        <v>0</v>
      </c>
      <c r="V146" s="68">
        <v>0</v>
      </c>
      <c r="W146" s="68">
        <v>0</v>
      </c>
      <c r="X146" s="68">
        <v>0</v>
      </c>
      <c r="Y146" s="68">
        <v>0</v>
      </c>
      <c r="Z146" s="68">
        <v>0</v>
      </c>
      <c r="AA146" s="68">
        <v>0</v>
      </c>
      <c r="AB146" s="68">
        <v>0</v>
      </c>
      <c r="AC146" s="68">
        <v>0</v>
      </c>
      <c r="AD146" s="68">
        <v>0</v>
      </c>
      <c r="AE146" s="68">
        <v>0</v>
      </c>
      <c r="AF146" s="68">
        <v>0</v>
      </c>
      <c r="AG146" s="68">
        <v>0</v>
      </c>
      <c r="AH146" s="68">
        <v>0</v>
      </c>
      <c r="AI146" s="68">
        <v>0</v>
      </c>
      <c r="AJ146" s="68">
        <v>0</v>
      </c>
      <c r="AK146" s="68">
        <v>0</v>
      </c>
      <c r="AL146" s="68">
        <v>0</v>
      </c>
      <c r="AM146" s="68">
        <v>0</v>
      </c>
      <c r="AN146" s="68">
        <v>0</v>
      </c>
      <c r="AO146" s="68">
        <v>0</v>
      </c>
      <c r="AP146" s="68">
        <v>0</v>
      </c>
      <c r="AQ146" s="68">
        <v>0</v>
      </c>
      <c r="AR146" s="68">
        <v>0</v>
      </c>
      <c r="AS146" s="68">
        <v>0</v>
      </c>
      <c r="AT146" s="68">
        <v>0</v>
      </c>
      <c r="AU146" s="68">
        <v>0</v>
      </c>
      <c r="AV146" s="68">
        <v>0</v>
      </c>
      <c r="AW146" s="68">
        <v>0</v>
      </c>
      <c r="AX146" s="68">
        <v>0</v>
      </c>
      <c r="AY146" s="68">
        <v>0</v>
      </c>
      <c r="AZ146" s="68">
        <v>0</v>
      </c>
      <c r="BA146" s="68">
        <v>0</v>
      </c>
      <c r="BB146" s="68">
        <v>0</v>
      </c>
      <c r="BC146" s="68">
        <v>0</v>
      </c>
      <c r="BD146" s="68">
        <v>0</v>
      </c>
      <c r="BE146" s="68">
        <v>0</v>
      </c>
      <c r="BF146" s="68">
        <v>0</v>
      </c>
      <c r="BG146" s="68">
        <v>0</v>
      </c>
      <c r="BH146" s="68">
        <v>0</v>
      </c>
      <c r="BI146" s="68">
        <v>0</v>
      </c>
      <c r="BJ146" s="68">
        <v>0</v>
      </c>
      <c r="BK146" s="68">
        <v>0</v>
      </c>
      <c r="BL146" s="68">
        <v>0</v>
      </c>
      <c r="BM146" s="68">
        <v>0</v>
      </c>
      <c r="BN146" s="68">
        <v>1</v>
      </c>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row>
    <row r="147" spans="1:127" x14ac:dyDescent="0.25">
      <c r="A147" s="74"/>
      <c r="B147" s="74"/>
      <c r="C147" s="66" t="s">
        <v>14</v>
      </c>
      <c r="D147" s="68">
        <v>0</v>
      </c>
      <c r="E147" s="68">
        <v>0</v>
      </c>
      <c r="F147" s="68">
        <v>0</v>
      </c>
      <c r="G147" s="68">
        <v>0</v>
      </c>
      <c r="H147" s="68">
        <v>0</v>
      </c>
      <c r="I147" s="68">
        <v>0</v>
      </c>
      <c r="J147" s="68">
        <v>0</v>
      </c>
      <c r="K147" s="68">
        <v>0</v>
      </c>
      <c r="L147" s="68">
        <v>1</v>
      </c>
      <c r="M147" s="68">
        <v>0</v>
      </c>
      <c r="N147" s="68">
        <v>0</v>
      </c>
      <c r="O147" s="68">
        <v>0</v>
      </c>
      <c r="P147" s="68">
        <v>0</v>
      </c>
      <c r="Q147" s="68">
        <v>0</v>
      </c>
      <c r="R147" s="68">
        <v>0</v>
      </c>
      <c r="S147" s="68">
        <v>0</v>
      </c>
      <c r="T147" s="68">
        <v>0</v>
      </c>
      <c r="U147" s="68">
        <v>0</v>
      </c>
      <c r="V147" s="68">
        <v>0</v>
      </c>
      <c r="W147" s="68">
        <v>0</v>
      </c>
      <c r="X147" s="68">
        <v>0</v>
      </c>
      <c r="Y147" s="68">
        <v>0</v>
      </c>
      <c r="Z147" s="68">
        <v>0</v>
      </c>
      <c r="AA147" s="68">
        <v>0</v>
      </c>
      <c r="AB147" s="68">
        <v>0</v>
      </c>
      <c r="AC147" s="68">
        <v>0</v>
      </c>
      <c r="AD147" s="68">
        <v>0</v>
      </c>
      <c r="AE147" s="68">
        <v>0</v>
      </c>
      <c r="AF147" s="68">
        <v>0</v>
      </c>
      <c r="AG147" s="68">
        <v>0</v>
      </c>
      <c r="AH147" s="68">
        <v>0</v>
      </c>
      <c r="AI147" s="68">
        <v>0</v>
      </c>
      <c r="AJ147" s="68">
        <v>0</v>
      </c>
      <c r="AK147" s="68">
        <v>0</v>
      </c>
      <c r="AL147" s="68">
        <v>0</v>
      </c>
      <c r="AM147" s="68">
        <v>0</v>
      </c>
      <c r="AN147" s="68">
        <v>0</v>
      </c>
      <c r="AO147" s="68">
        <v>0</v>
      </c>
      <c r="AP147" s="68">
        <v>0</v>
      </c>
      <c r="AQ147" s="68">
        <v>0</v>
      </c>
      <c r="AR147" s="68">
        <v>0</v>
      </c>
      <c r="AS147" s="68">
        <v>0</v>
      </c>
      <c r="AT147" s="68">
        <v>0</v>
      </c>
      <c r="AU147" s="68">
        <v>0</v>
      </c>
      <c r="AV147" s="68">
        <v>0</v>
      </c>
      <c r="AW147" s="68">
        <v>0</v>
      </c>
      <c r="AX147" s="68">
        <v>0</v>
      </c>
      <c r="AY147" s="68">
        <v>0</v>
      </c>
      <c r="AZ147" s="68">
        <v>0</v>
      </c>
      <c r="BA147" s="68">
        <v>0</v>
      </c>
      <c r="BB147" s="68">
        <v>0</v>
      </c>
      <c r="BC147" s="68">
        <v>0</v>
      </c>
      <c r="BD147" s="68">
        <v>0</v>
      </c>
      <c r="BE147" s="68">
        <v>0</v>
      </c>
      <c r="BF147" s="68">
        <v>0</v>
      </c>
      <c r="BG147" s="68">
        <v>0</v>
      </c>
      <c r="BH147" s="68">
        <v>0</v>
      </c>
      <c r="BI147" s="68">
        <v>0</v>
      </c>
      <c r="BJ147" s="68">
        <v>0</v>
      </c>
      <c r="BK147" s="68">
        <v>0</v>
      </c>
      <c r="BL147" s="68">
        <v>0</v>
      </c>
      <c r="BM147" s="68">
        <v>0</v>
      </c>
      <c r="BN147" s="68">
        <v>1</v>
      </c>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row>
    <row r="148" spans="1:127" x14ac:dyDescent="0.25">
      <c r="A148" s="74"/>
      <c r="B148" s="74"/>
      <c r="C148" s="66" t="s">
        <v>15</v>
      </c>
      <c r="D148" s="68">
        <v>0</v>
      </c>
      <c r="E148" s="68">
        <v>0</v>
      </c>
      <c r="F148" s="68">
        <v>0</v>
      </c>
      <c r="G148" s="68">
        <v>0</v>
      </c>
      <c r="H148" s="68">
        <v>0</v>
      </c>
      <c r="I148" s="68">
        <v>0</v>
      </c>
      <c r="J148" s="68">
        <v>0</v>
      </c>
      <c r="K148" s="68">
        <v>0</v>
      </c>
      <c r="L148" s="68">
        <v>0</v>
      </c>
      <c r="M148" s="68">
        <v>0</v>
      </c>
      <c r="N148" s="68">
        <v>1</v>
      </c>
      <c r="O148" s="68">
        <v>0</v>
      </c>
      <c r="P148" s="68">
        <v>0</v>
      </c>
      <c r="Q148" s="68">
        <v>0</v>
      </c>
      <c r="R148" s="68">
        <v>0</v>
      </c>
      <c r="S148" s="68">
        <v>0</v>
      </c>
      <c r="T148" s="68">
        <v>0</v>
      </c>
      <c r="U148" s="68">
        <v>0</v>
      </c>
      <c r="V148" s="68">
        <v>0</v>
      </c>
      <c r="W148" s="68">
        <v>0</v>
      </c>
      <c r="X148" s="68">
        <v>0</v>
      </c>
      <c r="Y148" s="68">
        <v>0</v>
      </c>
      <c r="Z148" s="68">
        <v>0</v>
      </c>
      <c r="AA148" s="68">
        <v>0</v>
      </c>
      <c r="AB148" s="68">
        <v>0</v>
      </c>
      <c r="AC148" s="68">
        <v>0</v>
      </c>
      <c r="AD148" s="68">
        <v>0</v>
      </c>
      <c r="AE148" s="68">
        <v>0</v>
      </c>
      <c r="AF148" s="68">
        <v>0</v>
      </c>
      <c r="AG148" s="68">
        <v>0</v>
      </c>
      <c r="AH148" s="68">
        <v>0</v>
      </c>
      <c r="AI148" s="68">
        <v>0</v>
      </c>
      <c r="AJ148" s="68">
        <v>0</v>
      </c>
      <c r="AK148" s="68">
        <v>0</v>
      </c>
      <c r="AL148" s="68">
        <v>0</v>
      </c>
      <c r="AM148" s="68">
        <v>0</v>
      </c>
      <c r="AN148" s="68">
        <v>0</v>
      </c>
      <c r="AO148" s="68">
        <v>0</v>
      </c>
      <c r="AP148" s="68">
        <v>0</v>
      </c>
      <c r="AQ148" s="68">
        <v>0</v>
      </c>
      <c r="AR148" s="68">
        <v>0</v>
      </c>
      <c r="AS148" s="68">
        <v>0</v>
      </c>
      <c r="AT148" s="68">
        <v>0</v>
      </c>
      <c r="AU148" s="68">
        <v>0</v>
      </c>
      <c r="AV148" s="68">
        <v>0</v>
      </c>
      <c r="AW148" s="68">
        <v>0</v>
      </c>
      <c r="AX148" s="68">
        <v>0</v>
      </c>
      <c r="AY148" s="68">
        <v>0</v>
      </c>
      <c r="AZ148" s="68">
        <v>0</v>
      </c>
      <c r="BA148" s="68">
        <v>0</v>
      </c>
      <c r="BB148" s="68">
        <v>0</v>
      </c>
      <c r="BC148" s="68">
        <v>0</v>
      </c>
      <c r="BD148" s="68">
        <v>0</v>
      </c>
      <c r="BE148" s="68">
        <v>0</v>
      </c>
      <c r="BF148" s="68">
        <v>0</v>
      </c>
      <c r="BG148" s="68">
        <v>0</v>
      </c>
      <c r="BH148" s="68">
        <v>0</v>
      </c>
      <c r="BI148" s="68">
        <v>0</v>
      </c>
      <c r="BJ148" s="68">
        <v>0</v>
      </c>
      <c r="BK148" s="68">
        <v>0</v>
      </c>
      <c r="BL148" s="68">
        <v>0</v>
      </c>
      <c r="BM148" s="68">
        <v>0</v>
      </c>
      <c r="BN148" s="68">
        <v>1</v>
      </c>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row>
    <row r="149" spans="1:127" x14ac:dyDescent="0.25">
      <c r="A149" s="74"/>
      <c r="B149" s="74"/>
      <c r="C149" s="66" t="s">
        <v>16</v>
      </c>
      <c r="D149" s="68">
        <v>0</v>
      </c>
      <c r="E149" s="68">
        <v>0</v>
      </c>
      <c r="F149" s="68">
        <v>0</v>
      </c>
      <c r="G149" s="68">
        <v>0</v>
      </c>
      <c r="H149" s="68">
        <v>0</v>
      </c>
      <c r="I149" s="68">
        <v>0</v>
      </c>
      <c r="J149" s="68">
        <v>0</v>
      </c>
      <c r="K149" s="68">
        <v>0</v>
      </c>
      <c r="L149" s="68">
        <v>0</v>
      </c>
      <c r="M149" s="68">
        <v>0</v>
      </c>
      <c r="N149" s="68">
        <v>0</v>
      </c>
      <c r="O149" s="68">
        <v>0</v>
      </c>
      <c r="P149" s="68">
        <v>1</v>
      </c>
      <c r="Q149" s="68">
        <v>0</v>
      </c>
      <c r="R149" s="68">
        <v>0</v>
      </c>
      <c r="S149" s="68">
        <v>0</v>
      </c>
      <c r="T149" s="68">
        <v>0</v>
      </c>
      <c r="U149" s="68">
        <v>0</v>
      </c>
      <c r="V149" s="68">
        <v>0</v>
      </c>
      <c r="W149" s="68">
        <v>0</v>
      </c>
      <c r="X149" s="68">
        <v>0</v>
      </c>
      <c r="Y149" s="68">
        <v>0</v>
      </c>
      <c r="Z149" s="68">
        <v>0</v>
      </c>
      <c r="AA149" s="68">
        <v>0</v>
      </c>
      <c r="AB149" s="68">
        <v>0</v>
      </c>
      <c r="AC149" s="68">
        <v>0</v>
      </c>
      <c r="AD149" s="68">
        <v>0</v>
      </c>
      <c r="AE149" s="68">
        <v>0</v>
      </c>
      <c r="AF149" s="68">
        <v>0</v>
      </c>
      <c r="AG149" s="68">
        <v>0</v>
      </c>
      <c r="AH149" s="68">
        <v>0</v>
      </c>
      <c r="AI149" s="68">
        <v>0</v>
      </c>
      <c r="AJ149" s="68">
        <v>0</v>
      </c>
      <c r="AK149" s="68">
        <v>0</v>
      </c>
      <c r="AL149" s="68">
        <v>0</v>
      </c>
      <c r="AM149" s="68">
        <v>0</v>
      </c>
      <c r="AN149" s="68">
        <v>0</v>
      </c>
      <c r="AO149" s="68">
        <v>0</v>
      </c>
      <c r="AP149" s="68">
        <v>0</v>
      </c>
      <c r="AQ149" s="68">
        <v>0</v>
      </c>
      <c r="AR149" s="68">
        <v>0</v>
      </c>
      <c r="AS149" s="68">
        <v>0</v>
      </c>
      <c r="AT149" s="68">
        <v>0</v>
      </c>
      <c r="AU149" s="68">
        <v>0</v>
      </c>
      <c r="AV149" s="68">
        <v>0</v>
      </c>
      <c r="AW149" s="68">
        <v>0</v>
      </c>
      <c r="AX149" s="68">
        <v>0</v>
      </c>
      <c r="AY149" s="68">
        <v>0</v>
      </c>
      <c r="AZ149" s="68">
        <v>0</v>
      </c>
      <c r="BA149" s="68">
        <v>0</v>
      </c>
      <c r="BB149" s="68">
        <v>0</v>
      </c>
      <c r="BC149" s="68">
        <v>0</v>
      </c>
      <c r="BD149" s="68">
        <v>0</v>
      </c>
      <c r="BE149" s="68">
        <v>0</v>
      </c>
      <c r="BF149" s="68">
        <v>0</v>
      </c>
      <c r="BG149" s="68">
        <v>0</v>
      </c>
      <c r="BH149" s="68">
        <v>0</v>
      </c>
      <c r="BI149" s="68">
        <v>0</v>
      </c>
      <c r="BJ149" s="68">
        <v>0</v>
      </c>
      <c r="BK149" s="68">
        <v>0</v>
      </c>
      <c r="BL149" s="68">
        <v>0</v>
      </c>
      <c r="BM149" s="68">
        <v>0</v>
      </c>
      <c r="BN149" s="68">
        <v>1</v>
      </c>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row>
    <row r="150" spans="1:127" x14ac:dyDescent="0.25">
      <c r="A150" s="74"/>
      <c r="B150" s="75" t="s">
        <v>211</v>
      </c>
      <c r="C150" s="74"/>
      <c r="D150" s="68">
        <v>1</v>
      </c>
      <c r="E150" s="68">
        <v>1</v>
      </c>
      <c r="F150" s="68">
        <v>1</v>
      </c>
      <c r="G150" s="68">
        <v>1</v>
      </c>
      <c r="H150" s="68">
        <v>0</v>
      </c>
      <c r="I150" s="68">
        <v>1</v>
      </c>
      <c r="J150" s="68">
        <v>0</v>
      </c>
      <c r="K150" s="68">
        <v>0</v>
      </c>
      <c r="L150" s="68">
        <v>1</v>
      </c>
      <c r="M150" s="68">
        <v>0</v>
      </c>
      <c r="N150" s="68">
        <v>1</v>
      </c>
      <c r="O150" s="68">
        <v>0</v>
      </c>
      <c r="P150" s="68">
        <v>1</v>
      </c>
      <c r="Q150" s="68">
        <v>0</v>
      </c>
      <c r="R150" s="68">
        <v>0</v>
      </c>
      <c r="S150" s="68">
        <v>0</v>
      </c>
      <c r="T150" s="68">
        <v>0</v>
      </c>
      <c r="U150" s="68">
        <v>0</v>
      </c>
      <c r="V150" s="68">
        <v>0</v>
      </c>
      <c r="W150" s="68">
        <v>0</v>
      </c>
      <c r="X150" s="68">
        <v>0</v>
      </c>
      <c r="Y150" s="68">
        <v>0</v>
      </c>
      <c r="Z150" s="68">
        <v>0</v>
      </c>
      <c r="AA150" s="68">
        <v>0</v>
      </c>
      <c r="AB150" s="68">
        <v>0</v>
      </c>
      <c r="AC150" s="68">
        <v>0</v>
      </c>
      <c r="AD150" s="68">
        <v>0</v>
      </c>
      <c r="AE150" s="68">
        <v>0</v>
      </c>
      <c r="AF150" s="68">
        <v>0</v>
      </c>
      <c r="AG150" s="68">
        <v>0</v>
      </c>
      <c r="AH150" s="68">
        <v>0</v>
      </c>
      <c r="AI150" s="68">
        <v>0</v>
      </c>
      <c r="AJ150" s="68">
        <v>0</v>
      </c>
      <c r="AK150" s="68">
        <v>0</v>
      </c>
      <c r="AL150" s="68">
        <v>0</v>
      </c>
      <c r="AM150" s="68">
        <v>0</v>
      </c>
      <c r="AN150" s="68">
        <v>0</v>
      </c>
      <c r="AO150" s="68">
        <v>0</v>
      </c>
      <c r="AP150" s="68">
        <v>0</v>
      </c>
      <c r="AQ150" s="68">
        <v>0</v>
      </c>
      <c r="AR150" s="68">
        <v>0</v>
      </c>
      <c r="AS150" s="68">
        <v>0</v>
      </c>
      <c r="AT150" s="68">
        <v>0</v>
      </c>
      <c r="AU150" s="68">
        <v>0</v>
      </c>
      <c r="AV150" s="68">
        <v>0</v>
      </c>
      <c r="AW150" s="68">
        <v>0</v>
      </c>
      <c r="AX150" s="68">
        <v>0</v>
      </c>
      <c r="AY150" s="68">
        <v>0</v>
      </c>
      <c r="AZ150" s="68">
        <v>0</v>
      </c>
      <c r="BA150" s="68">
        <v>0</v>
      </c>
      <c r="BB150" s="68">
        <v>0</v>
      </c>
      <c r="BC150" s="68">
        <v>0</v>
      </c>
      <c r="BD150" s="68">
        <v>0</v>
      </c>
      <c r="BE150" s="68">
        <v>0</v>
      </c>
      <c r="BF150" s="68">
        <v>0</v>
      </c>
      <c r="BG150" s="68">
        <v>0</v>
      </c>
      <c r="BH150" s="68">
        <v>0</v>
      </c>
      <c r="BI150" s="68">
        <v>0</v>
      </c>
      <c r="BJ150" s="68">
        <v>0</v>
      </c>
      <c r="BK150" s="68">
        <v>0</v>
      </c>
      <c r="BL150" s="68">
        <v>0</v>
      </c>
      <c r="BM150" s="68">
        <v>0</v>
      </c>
      <c r="BN150" s="68">
        <v>8</v>
      </c>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row>
    <row r="151" spans="1:127" x14ac:dyDescent="0.25">
      <c r="A151" s="75" t="s">
        <v>215</v>
      </c>
      <c r="B151" s="74"/>
      <c r="C151" s="74"/>
      <c r="D151" s="68">
        <v>1</v>
      </c>
      <c r="E151" s="68">
        <v>1</v>
      </c>
      <c r="F151" s="68">
        <v>1</v>
      </c>
      <c r="G151" s="68">
        <v>1</v>
      </c>
      <c r="H151" s="68">
        <v>0</v>
      </c>
      <c r="I151" s="68">
        <v>1</v>
      </c>
      <c r="J151" s="68">
        <v>0</v>
      </c>
      <c r="K151" s="68">
        <v>0</v>
      </c>
      <c r="L151" s="68">
        <v>1</v>
      </c>
      <c r="M151" s="68">
        <v>0</v>
      </c>
      <c r="N151" s="68">
        <v>1</v>
      </c>
      <c r="O151" s="68">
        <v>0</v>
      </c>
      <c r="P151" s="68">
        <v>1</v>
      </c>
      <c r="Q151" s="68">
        <v>0</v>
      </c>
      <c r="R151" s="68">
        <v>0</v>
      </c>
      <c r="S151" s="68">
        <v>0</v>
      </c>
      <c r="T151" s="68">
        <v>0</v>
      </c>
      <c r="U151" s="68">
        <v>0</v>
      </c>
      <c r="V151" s="68">
        <v>0</v>
      </c>
      <c r="W151" s="68">
        <v>0</v>
      </c>
      <c r="X151" s="68">
        <v>0</v>
      </c>
      <c r="Y151" s="68">
        <v>0</v>
      </c>
      <c r="Z151" s="68">
        <v>0</v>
      </c>
      <c r="AA151" s="68">
        <v>0</v>
      </c>
      <c r="AB151" s="68">
        <v>0</v>
      </c>
      <c r="AC151" s="68">
        <v>0</v>
      </c>
      <c r="AD151" s="68">
        <v>0</v>
      </c>
      <c r="AE151" s="68">
        <v>0</v>
      </c>
      <c r="AF151" s="68">
        <v>0</v>
      </c>
      <c r="AG151" s="68">
        <v>0</v>
      </c>
      <c r="AH151" s="68">
        <v>0</v>
      </c>
      <c r="AI151" s="68">
        <v>0</v>
      </c>
      <c r="AJ151" s="68">
        <v>0</v>
      </c>
      <c r="AK151" s="68">
        <v>0</v>
      </c>
      <c r="AL151" s="68">
        <v>0</v>
      </c>
      <c r="AM151" s="68">
        <v>0</v>
      </c>
      <c r="AN151" s="68">
        <v>0</v>
      </c>
      <c r="AO151" s="68">
        <v>0</v>
      </c>
      <c r="AP151" s="68">
        <v>0</v>
      </c>
      <c r="AQ151" s="68">
        <v>0</v>
      </c>
      <c r="AR151" s="68">
        <v>0</v>
      </c>
      <c r="AS151" s="68">
        <v>0</v>
      </c>
      <c r="AT151" s="68">
        <v>0</v>
      </c>
      <c r="AU151" s="68">
        <v>0</v>
      </c>
      <c r="AV151" s="68">
        <v>0</v>
      </c>
      <c r="AW151" s="68">
        <v>0</v>
      </c>
      <c r="AX151" s="68">
        <v>0</v>
      </c>
      <c r="AY151" s="68">
        <v>0</v>
      </c>
      <c r="AZ151" s="68">
        <v>0</v>
      </c>
      <c r="BA151" s="68">
        <v>0</v>
      </c>
      <c r="BB151" s="68">
        <v>0</v>
      </c>
      <c r="BC151" s="68">
        <v>0</v>
      </c>
      <c r="BD151" s="68">
        <v>0</v>
      </c>
      <c r="BE151" s="68">
        <v>0</v>
      </c>
      <c r="BF151" s="68">
        <v>0</v>
      </c>
      <c r="BG151" s="68">
        <v>0</v>
      </c>
      <c r="BH151" s="68">
        <v>0</v>
      </c>
      <c r="BI151" s="68">
        <v>0</v>
      </c>
      <c r="BJ151" s="68">
        <v>0</v>
      </c>
      <c r="BK151" s="68">
        <v>0</v>
      </c>
      <c r="BL151" s="68">
        <v>0</v>
      </c>
      <c r="BM151" s="68">
        <v>0</v>
      </c>
      <c r="BN151" s="68">
        <v>8</v>
      </c>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row>
    <row r="152" spans="1:127" x14ac:dyDescent="0.25">
      <c r="A152" s="75" t="s">
        <v>18</v>
      </c>
      <c r="B152" s="75" t="s">
        <v>17</v>
      </c>
      <c r="C152" s="66" t="s">
        <v>19</v>
      </c>
      <c r="D152" s="68">
        <v>0</v>
      </c>
      <c r="E152" s="68">
        <v>0</v>
      </c>
      <c r="F152" s="68">
        <v>0</v>
      </c>
      <c r="G152" s="68">
        <v>0</v>
      </c>
      <c r="H152" s="68">
        <v>0</v>
      </c>
      <c r="I152" s="68">
        <v>0</v>
      </c>
      <c r="J152" s="68">
        <v>0</v>
      </c>
      <c r="K152" s="68">
        <v>0</v>
      </c>
      <c r="L152" s="68">
        <v>0</v>
      </c>
      <c r="M152" s="68">
        <v>0</v>
      </c>
      <c r="N152" s="68">
        <v>0</v>
      </c>
      <c r="O152" s="68">
        <v>0</v>
      </c>
      <c r="P152" s="68">
        <v>0</v>
      </c>
      <c r="Q152" s="68">
        <v>0</v>
      </c>
      <c r="R152" s="68">
        <v>0</v>
      </c>
      <c r="S152" s="68">
        <v>1</v>
      </c>
      <c r="T152" s="68">
        <v>0</v>
      </c>
      <c r="U152" s="68">
        <v>0</v>
      </c>
      <c r="V152" s="68">
        <v>0</v>
      </c>
      <c r="W152" s="68">
        <v>0</v>
      </c>
      <c r="X152" s="68">
        <v>0</v>
      </c>
      <c r="Y152" s="68">
        <v>0</v>
      </c>
      <c r="Z152" s="68">
        <v>0</v>
      </c>
      <c r="AA152" s="68">
        <v>0</v>
      </c>
      <c r="AB152" s="68">
        <v>0</v>
      </c>
      <c r="AC152" s="68">
        <v>0</v>
      </c>
      <c r="AD152" s="68">
        <v>0</v>
      </c>
      <c r="AE152" s="68">
        <v>0</v>
      </c>
      <c r="AF152" s="68">
        <v>0</v>
      </c>
      <c r="AG152" s="68">
        <v>0</v>
      </c>
      <c r="AH152" s="68">
        <v>0</v>
      </c>
      <c r="AI152" s="68">
        <v>0</v>
      </c>
      <c r="AJ152" s="68">
        <v>0</v>
      </c>
      <c r="AK152" s="68">
        <v>0</v>
      </c>
      <c r="AL152" s="68">
        <v>0</v>
      </c>
      <c r="AM152" s="68">
        <v>0</v>
      </c>
      <c r="AN152" s="68">
        <v>0</v>
      </c>
      <c r="AO152" s="68">
        <v>0</v>
      </c>
      <c r="AP152" s="68">
        <v>0</v>
      </c>
      <c r="AQ152" s="68">
        <v>0</v>
      </c>
      <c r="AR152" s="68">
        <v>0</v>
      </c>
      <c r="AS152" s="68">
        <v>0</v>
      </c>
      <c r="AT152" s="68">
        <v>0</v>
      </c>
      <c r="AU152" s="68">
        <v>0</v>
      </c>
      <c r="AV152" s="68">
        <v>0</v>
      </c>
      <c r="AW152" s="68">
        <v>0</v>
      </c>
      <c r="AX152" s="68">
        <v>0</v>
      </c>
      <c r="AY152" s="68">
        <v>0</v>
      </c>
      <c r="AZ152" s="68">
        <v>0</v>
      </c>
      <c r="BA152" s="68">
        <v>0</v>
      </c>
      <c r="BB152" s="68">
        <v>0</v>
      </c>
      <c r="BC152" s="68">
        <v>0</v>
      </c>
      <c r="BD152" s="68">
        <v>0</v>
      </c>
      <c r="BE152" s="68">
        <v>0</v>
      </c>
      <c r="BF152" s="68">
        <v>0</v>
      </c>
      <c r="BG152" s="68">
        <v>0</v>
      </c>
      <c r="BH152" s="68">
        <v>0</v>
      </c>
      <c r="BI152" s="68">
        <v>0</v>
      </c>
      <c r="BJ152" s="68">
        <v>0</v>
      </c>
      <c r="BK152" s="68">
        <v>0</v>
      </c>
      <c r="BL152" s="68">
        <v>0</v>
      </c>
      <c r="BM152" s="68">
        <v>0</v>
      </c>
      <c r="BN152" s="68">
        <v>1</v>
      </c>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row>
    <row r="153" spans="1:127" x14ac:dyDescent="0.25">
      <c r="A153" s="74"/>
      <c r="B153" s="74"/>
      <c r="C153" s="66" t="s">
        <v>20</v>
      </c>
      <c r="D153" s="68">
        <v>0</v>
      </c>
      <c r="E153" s="68">
        <v>0</v>
      </c>
      <c r="F153" s="68">
        <v>0</v>
      </c>
      <c r="G153" s="68">
        <v>0</v>
      </c>
      <c r="H153" s="68">
        <v>0</v>
      </c>
      <c r="I153" s="68">
        <v>0</v>
      </c>
      <c r="J153" s="68">
        <v>0</v>
      </c>
      <c r="K153" s="68">
        <v>0</v>
      </c>
      <c r="L153" s="68">
        <v>0</v>
      </c>
      <c r="M153" s="68">
        <v>0</v>
      </c>
      <c r="N153" s="68">
        <v>0</v>
      </c>
      <c r="O153" s="68">
        <v>0</v>
      </c>
      <c r="P153" s="68">
        <v>0</v>
      </c>
      <c r="Q153" s="68">
        <v>0</v>
      </c>
      <c r="R153" s="68">
        <v>0</v>
      </c>
      <c r="S153" s="68">
        <v>0</v>
      </c>
      <c r="T153" s="68">
        <v>1</v>
      </c>
      <c r="U153" s="68">
        <v>0</v>
      </c>
      <c r="V153" s="68">
        <v>0</v>
      </c>
      <c r="W153" s="68">
        <v>0</v>
      </c>
      <c r="X153" s="68">
        <v>0</v>
      </c>
      <c r="Y153" s="68">
        <v>0</v>
      </c>
      <c r="Z153" s="68">
        <v>0</v>
      </c>
      <c r="AA153" s="68">
        <v>0</v>
      </c>
      <c r="AB153" s="68">
        <v>0</v>
      </c>
      <c r="AC153" s="68">
        <v>0</v>
      </c>
      <c r="AD153" s="68">
        <v>0</v>
      </c>
      <c r="AE153" s="68">
        <v>0</v>
      </c>
      <c r="AF153" s="68">
        <v>0</v>
      </c>
      <c r="AG153" s="68">
        <v>0</v>
      </c>
      <c r="AH153" s="68">
        <v>0</v>
      </c>
      <c r="AI153" s="68">
        <v>0</v>
      </c>
      <c r="AJ153" s="68">
        <v>0</v>
      </c>
      <c r="AK153" s="68">
        <v>0</v>
      </c>
      <c r="AL153" s="68">
        <v>0</v>
      </c>
      <c r="AM153" s="68">
        <v>0</v>
      </c>
      <c r="AN153" s="68">
        <v>0</v>
      </c>
      <c r="AO153" s="68">
        <v>0</v>
      </c>
      <c r="AP153" s="68">
        <v>0</v>
      </c>
      <c r="AQ153" s="68">
        <v>0</v>
      </c>
      <c r="AR153" s="68">
        <v>0</v>
      </c>
      <c r="AS153" s="68">
        <v>0</v>
      </c>
      <c r="AT153" s="68">
        <v>0</v>
      </c>
      <c r="AU153" s="68">
        <v>0</v>
      </c>
      <c r="AV153" s="68">
        <v>0</v>
      </c>
      <c r="AW153" s="68">
        <v>0</v>
      </c>
      <c r="AX153" s="68">
        <v>0</v>
      </c>
      <c r="AY153" s="68">
        <v>0</v>
      </c>
      <c r="AZ153" s="68">
        <v>0</v>
      </c>
      <c r="BA153" s="68">
        <v>0</v>
      </c>
      <c r="BB153" s="68">
        <v>0</v>
      </c>
      <c r="BC153" s="68">
        <v>0</v>
      </c>
      <c r="BD153" s="68">
        <v>0</v>
      </c>
      <c r="BE153" s="68">
        <v>0</v>
      </c>
      <c r="BF153" s="68">
        <v>0</v>
      </c>
      <c r="BG153" s="68">
        <v>0</v>
      </c>
      <c r="BH153" s="68">
        <v>0</v>
      </c>
      <c r="BI153" s="68">
        <v>0</v>
      </c>
      <c r="BJ153" s="68">
        <v>0</v>
      </c>
      <c r="BK153" s="68">
        <v>0</v>
      </c>
      <c r="BL153" s="68">
        <v>0</v>
      </c>
      <c r="BM153" s="68">
        <v>0</v>
      </c>
      <c r="BN153" s="68">
        <v>1</v>
      </c>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row>
    <row r="154" spans="1:127" x14ac:dyDescent="0.25">
      <c r="A154" s="74"/>
      <c r="B154" s="74"/>
      <c r="C154" s="66" t="s">
        <v>21</v>
      </c>
      <c r="D154" s="68">
        <v>0</v>
      </c>
      <c r="E154" s="68">
        <v>0</v>
      </c>
      <c r="F154" s="68">
        <v>0</v>
      </c>
      <c r="G154" s="68">
        <v>0</v>
      </c>
      <c r="H154" s="68">
        <v>0</v>
      </c>
      <c r="I154" s="68">
        <v>0</v>
      </c>
      <c r="J154" s="68">
        <v>0</v>
      </c>
      <c r="K154" s="68">
        <v>0</v>
      </c>
      <c r="L154" s="68">
        <v>0</v>
      </c>
      <c r="M154" s="68">
        <v>0</v>
      </c>
      <c r="N154" s="68">
        <v>0</v>
      </c>
      <c r="O154" s="68">
        <v>0</v>
      </c>
      <c r="P154" s="68">
        <v>0</v>
      </c>
      <c r="Q154" s="68">
        <v>0</v>
      </c>
      <c r="R154" s="68">
        <v>0</v>
      </c>
      <c r="S154" s="68">
        <v>0</v>
      </c>
      <c r="T154" s="68">
        <v>0</v>
      </c>
      <c r="U154" s="68">
        <v>1</v>
      </c>
      <c r="V154" s="68">
        <v>0</v>
      </c>
      <c r="W154" s="68">
        <v>0</v>
      </c>
      <c r="X154" s="68">
        <v>0</v>
      </c>
      <c r="Y154" s="68">
        <v>0</v>
      </c>
      <c r="Z154" s="68">
        <v>0</v>
      </c>
      <c r="AA154" s="68">
        <v>0</v>
      </c>
      <c r="AB154" s="68">
        <v>0</v>
      </c>
      <c r="AC154" s="68">
        <v>0</v>
      </c>
      <c r="AD154" s="68">
        <v>0</v>
      </c>
      <c r="AE154" s="68">
        <v>0</v>
      </c>
      <c r="AF154" s="68">
        <v>0</v>
      </c>
      <c r="AG154" s="68">
        <v>0</v>
      </c>
      <c r="AH154" s="68">
        <v>0</v>
      </c>
      <c r="AI154" s="68">
        <v>0</v>
      </c>
      <c r="AJ154" s="68">
        <v>0</v>
      </c>
      <c r="AK154" s="68">
        <v>0</v>
      </c>
      <c r="AL154" s="68">
        <v>0</v>
      </c>
      <c r="AM154" s="68">
        <v>0</v>
      </c>
      <c r="AN154" s="68">
        <v>0</v>
      </c>
      <c r="AO154" s="68">
        <v>0</v>
      </c>
      <c r="AP154" s="68">
        <v>0</v>
      </c>
      <c r="AQ154" s="68">
        <v>0</v>
      </c>
      <c r="AR154" s="68">
        <v>0</v>
      </c>
      <c r="AS154" s="68">
        <v>0</v>
      </c>
      <c r="AT154" s="68">
        <v>0</v>
      </c>
      <c r="AU154" s="68">
        <v>0</v>
      </c>
      <c r="AV154" s="68">
        <v>0</v>
      </c>
      <c r="AW154" s="68">
        <v>0</v>
      </c>
      <c r="AX154" s="68">
        <v>0</v>
      </c>
      <c r="AY154" s="68">
        <v>0</v>
      </c>
      <c r="AZ154" s="68">
        <v>0</v>
      </c>
      <c r="BA154" s="68">
        <v>0</v>
      </c>
      <c r="BB154" s="68">
        <v>0</v>
      </c>
      <c r="BC154" s="68">
        <v>0</v>
      </c>
      <c r="BD154" s="68">
        <v>0</v>
      </c>
      <c r="BE154" s="68">
        <v>0</v>
      </c>
      <c r="BF154" s="68">
        <v>0</v>
      </c>
      <c r="BG154" s="68">
        <v>0</v>
      </c>
      <c r="BH154" s="68">
        <v>0</v>
      </c>
      <c r="BI154" s="68">
        <v>0</v>
      </c>
      <c r="BJ154" s="68">
        <v>0</v>
      </c>
      <c r="BK154" s="68">
        <v>0</v>
      </c>
      <c r="BL154" s="68">
        <v>0</v>
      </c>
      <c r="BM154" s="68">
        <v>0</v>
      </c>
      <c r="BN154" s="68">
        <v>1</v>
      </c>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row>
    <row r="155" spans="1:127" x14ac:dyDescent="0.25">
      <c r="A155" s="74"/>
      <c r="B155" s="74"/>
      <c r="C155" s="66" t="s">
        <v>22</v>
      </c>
      <c r="D155" s="68">
        <v>0</v>
      </c>
      <c r="E155" s="68">
        <v>0</v>
      </c>
      <c r="F155" s="68">
        <v>0</v>
      </c>
      <c r="G155" s="68">
        <v>0</v>
      </c>
      <c r="H155" s="68">
        <v>0</v>
      </c>
      <c r="I155" s="68">
        <v>0</v>
      </c>
      <c r="J155" s="68">
        <v>0</v>
      </c>
      <c r="K155" s="68">
        <v>0</v>
      </c>
      <c r="L155" s="68">
        <v>0</v>
      </c>
      <c r="M155" s="68">
        <v>0</v>
      </c>
      <c r="N155" s="68">
        <v>0</v>
      </c>
      <c r="O155" s="68">
        <v>0</v>
      </c>
      <c r="P155" s="68">
        <v>0</v>
      </c>
      <c r="Q155" s="68">
        <v>0</v>
      </c>
      <c r="R155" s="68">
        <v>0</v>
      </c>
      <c r="S155" s="68">
        <v>0</v>
      </c>
      <c r="T155" s="68">
        <v>0</v>
      </c>
      <c r="U155" s="68">
        <v>0</v>
      </c>
      <c r="V155" s="68">
        <v>1</v>
      </c>
      <c r="W155" s="68">
        <v>0</v>
      </c>
      <c r="X155" s="68">
        <v>0</v>
      </c>
      <c r="Y155" s="68">
        <v>0</v>
      </c>
      <c r="Z155" s="68">
        <v>0</v>
      </c>
      <c r="AA155" s="68">
        <v>0</v>
      </c>
      <c r="AB155" s="68">
        <v>0</v>
      </c>
      <c r="AC155" s="68">
        <v>0</v>
      </c>
      <c r="AD155" s="68">
        <v>0</v>
      </c>
      <c r="AE155" s="68">
        <v>0</v>
      </c>
      <c r="AF155" s="68">
        <v>0</v>
      </c>
      <c r="AG155" s="68">
        <v>0</v>
      </c>
      <c r="AH155" s="68">
        <v>0</v>
      </c>
      <c r="AI155" s="68">
        <v>0</v>
      </c>
      <c r="AJ155" s="68">
        <v>0</v>
      </c>
      <c r="AK155" s="68">
        <v>0</v>
      </c>
      <c r="AL155" s="68">
        <v>0</v>
      </c>
      <c r="AM155" s="68">
        <v>0</v>
      </c>
      <c r="AN155" s="68">
        <v>0</v>
      </c>
      <c r="AO155" s="68">
        <v>0</v>
      </c>
      <c r="AP155" s="68">
        <v>0</v>
      </c>
      <c r="AQ155" s="68">
        <v>0</v>
      </c>
      <c r="AR155" s="68">
        <v>0</v>
      </c>
      <c r="AS155" s="68">
        <v>0</v>
      </c>
      <c r="AT155" s="68">
        <v>0</v>
      </c>
      <c r="AU155" s="68">
        <v>0</v>
      </c>
      <c r="AV155" s="68">
        <v>0</v>
      </c>
      <c r="AW155" s="68">
        <v>0</v>
      </c>
      <c r="AX155" s="68">
        <v>0</v>
      </c>
      <c r="AY155" s="68">
        <v>0</v>
      </c>
      <c r="AZ155" s="68">
        <v>0</v>
      </c>
      <c r="BA155" s="68">
        <v>0</v>
      </c>
      <c r="BB155" s="68">
        <v>0</v>
      </c>
      <c r="BC155" s="68">
        <v>0</v>
      </c>
      <c r="BD155" s="68">
        <v>0</v>
      </c>
      <c r="BE155" s="68">
        <v>0</v>
      </c>
      <c r="BF155" s="68">
        <v>0</v>
      </c>
      <c r="BG155" s="68">
        <v>0</v>
      </c>
      <c r="BH155" s="68">
        <v>0</v>
      </c>
      <c r="BI155" s="68">
        <v>0</v>
      </c>
      <c r="BJ155" s="68">
        <v>0</v>
      </c>
      <c r="BK155" s="68">
        <v>0</v>
      </c>
      <c r="BL155" s="68">
        <v>0</v>
      </c>
      <c r="BM155" s="68">
        <v>0</v>
      </c>
      <c r="BN155" s="68">
        <v>1</v>
      </c>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row>
    <row r="156" spans="1:127" x14ac:dyDescent="0.25">
      <c r="A156" s="74"/>
      <c r="B156" s="74"/>
      <c r="C156" s="66" t="s">
        <v>23</v>
      </c>
      <c r="D156" s="68">
        <v>0</v>
      </c>
      <c r="E156" s="68">
        <v>0</v>
      </c>
      <c r="F156" s="68">
        <v>0</v>
      </c>
      <c r="G156" s="68">
        <v>0</v>
      </c>
      <c r="H156" s="68">
        <v>1</v>
      </c>
      <c r="I156" s="68">
        <v>0</v>
      </c>
      <c r="J156" s="68">
        <v>0</v>
      </c>
      <c r="K156" s="68">
        <v>0</v>
      </c>
      <c r="L156" s="68">
        <v>0</v>
      </c>
      <c r="M156" s="68">
        <v>0</v>
      </c>
      <c r="N156" s="68">
        <v>0</v>
      </c>
      <c r="O156" s="68">
        <v>0</v>
      </c>
      <c r="P156" s="68">
        <v>0</v>
      </c>
      <c r="Q156" s="68">
        <v>0</v>
      </c>
      <c r="R156" s="68">
        <v>0</v>
      </c>
      <c r="S156" s="68">
        <v>0</v>
      </c>
      <c r="T156" s="68">
        <v>0</v>
      </c>
      <c r="U156" s="68">
        <v>0</v>
      </c>
      <c r="V156" s="68">
        <v>0</v>
      </c>
      <c r="W156" s="68">
        <v>0</v>
      </c>
      <c r="X156" s="68">
        <v>0</v>
      </c>
      <c r="Y156" s="68">
        <v>0</v>
      </c>
      <c r="Z156" s="68">
        <v>0</v>
      </c>
      <c r="AA156" s="68">
        <v>0</v>
      </c>
      <c r="AB156" s="68">
        <v>0</v>
      </c>
      <c r="AC156" s="68">
        <v>0</v>
      </c>
      <c r="AD156" s="68">
        <v>0</v>
      </c>
      <c r="AE156" s="68">
        <v>0</v>
      </c>
      <c r="AF156" s="68">
        <v>0</v>
      </c>
      <c r="AG156" s="68">
        <v>0</v>
      </c>
      <c r="AH156" s="68">
        <v>0</v>
      </c>
      <c r="AI156" s="68">
        <v>0</v>
      </c>
      <c r="AJ156" s="68">
        <v>0</v>
      </c>
      <c r="AK156" s="68">
        <v>0</v>
      </c>
      <c r="AL156" s="68">
        <v>0</v>
      </c>
      <c r="AM156" s="68">
        <v>0</v>
      </c>
      <c r="AN156" s="68">
        <v>0</v>
      </c>
      <c r="AO156" s="68">
        <v>0</v>
      </c>
      <c r="AP156" s="68">
        <v>0</v>
      </c>
      <c r="AQ156" s="68">
        <v>0</v>
      </c>
      <c r="AR156" s="68">
        <v>0</v>
      </c>
      <c r="AS156" s="68">
        <v>0</v>
      </c>
      <c r="AT156" s="68">
        <v>0</v>
      </c>
      <c r="AU156" s="68">
        <v>0</v>
      </c>
      <c r="AV156" s="68">
        <v>0</v>
      </c>
      <c r="AW156" s="68">
        <v>0</v>
      </c>
      <c r="AX156" s="68">
        <v>0</v>
      </c>
      <c r="AY156" s="68">
        <v>0</v>
      </c>
      <c r="AZ156" s="68">
        <v>0</v>
      </c>
      <c r="BA156" s="68">
        <v>0</v>
      </c>
      <c r="BB156" s="68">
        <v>0</v>
      </c>
      <c r="BC156" s="68">
        <v>0</v>
      </c>
      <c r="BD156" s="68">
        <v>0</v>
      </c>
      <c r="BE156" s="68">
        <v>0</v>
      </c>
      <c r="BF156" s="68">
        <v>0</v>
      </c>
      <c r="BG156" s="68">
        <v>0</v>
      </c>
      <c r="BH156" s="68">
        <v>0</v>
      </c>
      <c r="BI156" s="68">
        <v>0</v>
      </c>
      <c r="BJ156" s="68">
        <v>0</v>
      </c>
      <c r="BK156" s="68">
        <v>0</v>
      </c>
      <c r="BL156" s="68">
        <v>0</v>
      </c>
      <c r="BM156" s="68">
        <v>0</v>
      </c>
      <c r="BN156" s="68">
        <v>1</v>
      </c>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row>
    <row r="157" spans="1:127" x14ac:dyDescent="0.25">
      <c r="A157" s="74"/>
      <c r="B157" s="74"/>
      <c r="C157" s="66" t="s">
        <v>24</v>
      </c>
      <c r="D157" s="68">
        <v>0</v>
      </c>
      <c r="E157" s="68">
        <v>0</v>
      </c>
      <c r="F157" s="68">
        <v>0</v>
      </c>
      <c r="G157" s="68">
        <v>0</v>
      </c>
      <c r="H157" s="68">
        <v>0</v>
      </c>
      <c r="I157" s="68">
        <v>0</v>
      </c>
      <c r="J157" s="68">
        <v>1</v>
      </c>
      <c r="K157" s="68">
        <v>0</v>
      </c>
      <c r="L157" s="68">
        <v>0</v>
      </c>
      <c r="M157" s="68">
        <v>0</v>
      </c>
      <c r="N157" s="68">
        <v>0</v>
      </c>
      <c r="O157" s="68">
        <v>0</v>
      </c>
      <c r="P157" s="68">
        <v>0</v>
      </c>
      <c r="Q157" s="68">
        <v>0</v>
      </c>
      <c r="R157" s="68">
        <v>0</v>
      </c>
      <c r="S157" s="68">
        <v>0</v>
      </c>
      <c r="T157" s="68">
        <v>0</v>
      </c>
      <c r="U157" s="68">
        <v>0</v>
      </c>
      <c r="V157" s="68">
        <v>0</v>
      </c>
      <c r="W157" s="68">
        <v>0</v>
      </c>
      <c r="X157" s="68">
        <v>0</v>
      </c>
      <c r="Y157" s="68">
        <v>0</v>
      </c>
      <c r="Z157" s="68">
        <v>0</v>
      </c>
      <c r="AA157" s="68">
        <v>0</v>
      </c>
      <c r="AB157" s="68">
        <v>0</v>
      </c>
      <c r="AC157" s="68">
        <v>0</v>
      </c>
      <c r="AD157" s="68">
        <v>0</v>
      </c>
      <c r="AE157" s="68">
        <v>0</v>
      </c>
      <c r="AF157" s="68">
        <v>0</v>
      </c>
      <c r="AG157" s="68">
        <v>0</v>
      </c>
      <c r="AH157" s="68">
        <v>0</v>
      </c>
      <c r="AI157" s="68">
        <v>0</v>
      </c>
      <c r="AJ157" s="68">
        <v>0</v>
      </c>
      <c r="AK157" s="68">
        <v>0</v>
      </c>
      <c r="AL157" s="68">
        <v>0</v>
      </c>
      <c r="AM157" s="68">
        <v>0</v>
      </c>
      <c r="AN157" s="68">
        <v>0</v>
      </c>
      <c r="AO157" s="68">
        <v>0</v>
      </c>
      <c r="AP157" s="68">
        <v>0</v>
      </c>
      <c r="AQ157" s="68">
        <v>0</v>
      </c>
      <c r="AR157" s="68">
        <v>0</v>
      </c>
      <c r="AS157" s="68">
        <v>0</v>
      </c>
      <c r="AT157" s="68">
        <v>0</v>
      </c>
      <c r="AU157" s="68">
        <v>0</v>
      </c>
      <c r="AV157" s="68">
        <v>0</v>
      </c>
      <c r="AW157" s="68">
        <v>0</v>
      </c>
      <c r="AX157" s="68">
        <v>0</v>
      </c>
      <c r="AY157" s="68">
        <v>0</v>
      </c>
      <c r="AZ157" s="68">
        <v>0</v>
      </c>
      <c r="BA157" s="68">
        <v>0</v>
      </c>
      <c r="BB157" s="68">
        <v>0</v>
      </c>
      <c r="BC157" s="68">
        <v>0</v>
      </c>
      <c r="BD157" s="68">
        <v>0</v>
      </c>
      <c r="BE157" s="68">
        <v>0</v>
      </c>
      <c r="BF157" s="68">
        <v>0</v>
      </c>
      <c r="BG157" s="68">
        <v>0</v>
      </c>
      <c r="BH157" s="68">
        <v>0</v>
      </c>
      <c r="BI157" s="68">
        <v>0</v>
      </c>
      <c r="BJ157" s="68">
        <v>0</v>
      </c>
      <c r="BK157" s="68">
        <v>0</v>
      </c>
      <c r="BL157" s="68">
        <v>0</v>
      </c>
      <c r="BM157" s="68">
        <v>0</v>
      </c>
      <c r="BN157" s="68">
        <v>1</v>
      </c>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row>
    <row r="158" spans="1:127" x14ac:dyDescent="0.25">
      <c r="A158" s="74"/>
      <c r="B158" s="74"/>
      <c r="C158" s="66" t="s">
        <v>25</v>
      </c>
      <c r="D158" s="68">
        <v>0</v>
      </c>
      <c r="E158" s="68">
        <v>0</v>
      </c>
      <c r="F158" s="68">
        <v>0</v>
      </c>
      <c r="G158" s="68">
        <v>0</v>
      </c>
      <c r="H158" s="68">
        <v>0</v>
      </c>
      <c r="I158" s="68">
        <v>0</v>
      </c>
      <c r="J158" s="68">
        <v>0</v>
      </c>
      <c r="K158" s="68">
        <v>1</v>
      </c>
      <c r="L158" s="68">
        <v>0</v>
      </c>
      <c r="M158" s="68">
        <v>0</v>
      </c>
      <c r="N158" s="68">
        <v>0</v>
      </c>
      <c r="O158" s="68">
        <v>0</v>
      </c>
      <c r="P158" s="68">
        <v>0</v>
      </c>
      <c r="Q158" s="68">
        <v>0</v>
      </c>
      <c r="R158" s="68">
        <v>0</v>
      </c>
      <c r="S158" s="68">
        <v>0</v>
      </c>
      <c r="T158" s="68">
        <v>0</v>
      </c>
      <c r="U158" s="68">
        <v>0</v>
      </c>
      <c r="V158" s="68">
        <v>0</v>
      </c>
      <c r="W158" s="68">
        <v>0</v>
      </c>
      <c r="X158" s="68">
        <v>0</v>
      </c>
      <c r="Y158" s="68">
        <v>0</v>
      </c>
      <c r="Z158" s="68">
        <v>0</v>
      </c>
      <c r="AA158" s="68">
        <v>0</v>
      </c>
      <c r="AB158" s="68">
        <v>0</v>
      </c>
      <c r="AC158" s="68">
        <v>0</v>
      </c>
      <c r="AD158" s="68">
        <v>0</v>
      </c>
      <c r="AE158" s="68">
        <v>0</v>
      </c>
      <c r="AF158" s="68">
        <v>0</v>
      </c>
      <c r="AG158" s="68">
        <v>0</v>
      </c>
      <c r="AH158" s="68">
        <v>0</v>
      </c>
      <c r="AI158" s="68">
        <v>0</v>
      </c>
      <c r="AJ158" s="68">
        <v>0</v>
      </c>
      <c r="AK158" s="68">
        <v>0</v>
      </c>
      <c r="AL158" s="68">
        <v>0</v>
      </c>
      <c r="AM158" s="68">
        <v>0</v>
      </c>
      <c r="AN158" s="68">
        <v>0</v>
      </c>
      <c r="AO158" s="68">
        <v>0</v>
      </c>
      <c r="AP158" s="68">
        <v>0</v>
      </c>
      <c r="AQ158" s="68">
        <v>0</v>
      </c>
      <c r="AR158" s="68">
        <v>0</v>
      </c>
      <c r="AS158" s="68">
        <v>0</v>
      </c>
      <c r="AT158" s="68">
        <v>0</v>
      </c>
      <c r="AU158" s="68">
        <v>0</v>
      </c>
      <c r="AV158" s="68">
        <v>0</v>
      </c>
      <c r="AW158" s="68">
        <v>0</v>
      </c>
      <c r="AX158" s="68">
        <v>0</v>
      </c>
      <c r="AY158" s="68">
        <v>0</v>
      </c>
      <c r="AZ158" s="68">
        <v>0</v>
      </c>
      <c r="BA158" s="68">
        <v>0</v>
      </c>
      <c r="BB158" s="68">
        <v>0</v>
      </c>
      <c r="BC158" s="68">
        <v>0</v>
      </c>
      <c r="BD158" s="68">
        <v>0</v>
      </c>
      <c r="BE158" s="68">
        <v>0</v>
      </c>
      <c r="BF158" s="68">
        <v>0</v>
      </c>
      <c r="BG158" s="68">
        <v>0</v>
      </c>
      <c r="BH158" s="68">
        <v>0</v>
      </c>
      <c r="BI158" s="68">
        <v>0</v>
      </c>
      <c r="BJ158" s="68">
        <v>0</v>
      </c>
      <c r="BK158" s="68">
        <v>0</v>
      </c>
      <c r="BL158" s="68">
        <v>0</v>
      </c>
      <c r="BM158" s="68">
        <v>0</v>
      </c>
      <c r="BN158" s="68">
        <v>1</v>
      </c>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row>
    <row r="159" spans="1:127" x14ac:dyDescent="0.25">
      <c r="A159" s="74"/>
      <c r="B159" s="74"/>
      <c r="C159" s="66" t="s">
        <v>26</v>
      </c>
      <c r="D159" s="68">
        <v>0</v>
      </c>
      <c r="E159" s="68">
        <v>0</v>
      </c>
      <c r="F159" s="68">
        <v>0</v>
      </c>
      <c r="G159" s="68">
        <v>0</v>
      </c>
      <c r="H159" s="68">
        <v>0</v>
      </c>
      <c r="I159" s="68">
        <v>0</v>
      </c>
      <c r="J159" s="68">
        <v>0</v>
      </c>
      <c r="K159" s="68">
        <v>0</v>
      </c>
      <c r="L159" s="68">
        <v>0</v>
      </c>
      <c r="M159" s="68">
        <v>1</v>
      </c>
      <c r="N159" s="68">
        <v>0</v>
      </c>
      <c r="O159" s="68">
        <v>0</v>
      </c>
      <c r="P159" s="68">
        <v>0</v>
      </c>
      <c r="Q159" s="68">
        <v>0</v>
      </c>
      <c r="R159" s="68">
        <v>0</v>
      </c>
      <c r="S159" s="68">
        <v>0</v>
      </c>
      <c r="T159" s="68">
        <v>0</v>
      </c>
      <c r="U159" s="68">
        <v>0</v>
      </c>
      <c r="V159" s="68">
        <v>0</v>
      </c>
      <c r="W159" s="68">
        <v>0</v>
      </c>
      <c r="X159" s="68">
        <v>0</v>
      </c>
      <c r="Y159" s="68">
        <v>0</v>
      </c>
      <c r="Z159" s="68">
        <v>0</v>
      </c>
      <c r="AA159" s="68">
        <v>0</v>
      </c>
      <c r="AB159" s="68">
        <v>0</v>
      </c>
      <c r="AC159" s="68">
        <v>0</v>
      </c>
      <c r="AD159" s="68">
        <v>0</v>
      </c>
      <c r="AE159" s="68">
        <v>0</v>
      </c>
      <c r="AF159" s="68">
        <v>0</v>
      </c>
      <c r="AG159" s="68">
        <v>0</v>
      </c>
      <c r="AH159" s="68">
        <v>0</v>
      </c>
      <c r="AI159" s="68">
        <v>0</v>
      </c>
      <c r="AJ159" s="68">
        <v>0</v>
      </c>
      <c r="AK159" s="68">
        <v>0</v>
      </c>
      <c r="AL159" s="68">
        <v>0</v>
      </c>
      <c r="AM159" s="68">
        <v>0</v>
      </c>
      <c r="AN159" s="68">
        <v>0</v>
      </c>
      <c r="AO159" s="68">
        <v>0</v>
      </c>
      <c r="AP159" s="68">
        <v>0</v>
      </c>
      <c r="AQ159" s="68">
        <v>0</v>
      </c>
      <c r="AR159" s="68">
        <v>0</v>
      </c>
      <c r="AS159" s="68">
        <v>0</v>
      </c>
      <c r="AT159" s="68">
        <v>0</v>
      </c>
      <c r="AU159" s="68">
        <v>0</v>
      </c>
      <c r="AV159" s="68">
        <v>0</v>
      </c>
      <c r="AW159" s="68">
        <v>0</v>
      </c>
      <c r="AX159" s="68">
        <v>0</v>
      </c>
      <c r="AY159" s="68">
        <v>0</v>
      </c>
      <c r="AZ159" s="68">
        <v>0</v>
      </c>
      <c r="BA159" s="68">
        <v>0</v>
      </c>
      <c r="BB159" s="68">
        <v>0</v>
      </c>
      <c r="BC159" s="68">
        <v>0</v>
      </c>
      <c r="BD159" s="68">
        <v>0</v>
      </c>
      <c r="BE159" s="68">
        <v>0</v>
      </c>
      <c r="BF159" s="68">
        <v>0</v>
      </c>
      <c r="BG159" s="68">
        <v>0</v>
      </c>
      <c r="BH159" s="68">
        <v>0</v>
      </c>
      <c r="BI159" s="68">
        <v>0</v>
      </c>
      <c r="BJ159" s="68">
        <v>0</v>
      </c>
      <c r="BK159" s="68">
        <v>0</v>
      </c>
      <c r="BL159" s="68">
        <v>0</v>
      </c>
      <c r="BM159" s="68">
        <v>0</v>
      </c>
      <c r="BN159" s="68">
        <v>1</v>
      </c>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row>
    <row r="160" spans="1:127" x14ac:dyDescent="0.25">
      <c r="A160" s="74"/>
      <c r="B160" s="74"/>
      <c r="C160" s="66" t="s">
        <v>27</v>
      </c>
      <c r="D160" s="68">
        <v>0</v>
      </c>
      <c r="E160" s="68">
        <v>0</v>
      </c>
      <c r="F160" s="68">
        <v>0</v>
      </c>
      <c r="G160" s="68">
        <v>0</v>
      </c>
      <c r="H160" s="68">
        <v>0</v>
      </c>
      <c r="I160" s="68">
        <v>0</v>
      </c>
      <c r="J160" s="68">
        <v>0</v>
      </c>
      <c r="K160" s="68">
        <v>0</v>
      </c>
      <c r="L160" s="68">
        <v>0</v>
      </c>
      <c r="M160" s="68">
        <v>0</v>
      </c>
      <c r="N160" s="68">
        <v>0</v>
      </c>
      <c r="O160" s="68">
        <v>1</v>
      </c>
      <c r="P160" s="68">
        <v>0</v>
      </c>
      <c r="Q160" s="68">
        <v>0</v>
      </c>
      <c r="R160" s="68">
        <v>0</v>
      </c>
      <c r="S160" s="68">
        <v>0</v>
      </c>
      <c r="T160" s="68">
        <v>0</v>
      </c>
      <c r="U160" s="68">
        <v>0</v>
      </c>
      <c r="V160" s="68">
        <v>0</v>
      </c>
      <c r="W160" s="68">
        <v>0</v>
      </c>
      <c r="X160" s="68">
        <v>0</v>
      </c>
      <c r="Y160" s="68">
        <v>0</v>
      </c>
      <c r="Z160" s="68">
        <v>0</v>
      </c>
      <c r="AA160" s="68">
        <v>0</v>
      </c>
      <c r="AB160" s="68">
        <v>0</v>
      </c>
      <c r="AC160" s="68">
        <v>0</v>
      </c>
      <c r="AD160" s="68">
        <v>0</v>
      </c>
      <c r="AE160" s="68">
        <v>0</v>
      </c>
      <c r="AF160" s="68">
        <v>0</v>
      </c>
      <c r="AG160" s="68">
        <v>0</v>
      </c>
      <c r="AH160" s="68">
        <v>0</v>
      </c>
      <c r="AI160" s="68">
        <v>0</v>
      </c>
      <c r="AJ160" s="68">
        <v>0</v>
      </c>
      <c r="AK160" s="68">
        <v>0</v>
      </c>
      <c r="AL160" s="68">
        <v>0</v>
      </c>
      <c r="AM160" s="68">
        <v>0</v>
      </c>
      <c r="AN160" s="68">
        <v>0</v>
      </c>
      <c r="AO160" s="68">
        <v>0</v>
      </c>
      <c r="AP160" s="68">
        <v>0</v>
      </c>
      <c r="AQ160" s="68">
        <v>0</v>
      </c>
      <c r="AR160" s="68">
        <v>0</v>
      </c>
      <c r="AS160" s="68">
        <v>0</v>
      </c>
      <c r="AT160" s="68">
        <v>0</v>
      </c>
      <c r="AU160" s="68">
        <v>0</v>
      </c>
      <c r="AV160" s="68">
        <v>0</v>
      </c>
      <c r="AW160" s="68">
        <v>0</v>
      </c>
      <c r="AX160" s="68">
        <v>0</v>
      </c>
      <c r="AY160" s="68">
        <v>0</v>
      </c>
      <c r="AZ160" s="68">
        <v>0</v>
      </c>
      <c r="BA160" s="68">
        <v>0</v>
      </c>
      <c r="BB160" s="68">
        <v>0</v>
      </c>
      <c r="BC160" s="68">
        <v>0</v>
      </c>
      <c r="BD160" s="68">
        <v>0</v>
      </c>
      <c r="BE160" s="68">
        <v>0</v>
      </c>
      <c r="BF160" s="68">
        <v>0</v>
      </c>
      <c r="BG160" s="68">
        <v>0</v>
      </c>
      <c r="BH160" s="68">
        <v>0</v>
      </c>
      <c r="BI160" s="68">
        <v>0</v>
      </c>
      <c r="BJ160" s="68">
        <v>0</v>
      </c>
      <c r="BK160" s="68">
        <v>0</v>
      </c>
      <c r="BL160" s="68">
        <v>0</v>
      </c>
      <c r="BM160" s="68">
        <v>0</v>
      </c>
      <c r="BN160" s="68">
        <v>1</v>
      </c>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row>
    <row r="161" spans="1:127" x14ac:dyDescent="0.25">
      <c r="A161" s="74"/>
      <c r="B161" s="74"/>
      <c r="C161" s="66" t="s">
        <v>28</v>
      </c>
      <c r="D161" s="68">
        <v>0</v>
      </c>
      <c r="E161" s="68">
        <v>0</v>
      </c>
      <c r="F161" s="68">
        <v>0</v>
      </c>
      <c r="G161" s="68">
        <v>0</v>
      </c>
      <c r="H161" s="68">
        <v>0</v>
      </c>
      <c r="I161" s="68">
        <v>0</v>
      </c>
      <c r="J161" s="68">
        <v>0</v>
      </c>
      <c r="K161" s="68">
        <v>0</v>
      </c>
      <c r="L161" s="68">
        <v>0</v>
      </c>
      <c r="M161" s="68">
        <v>0</v>
      </c>
      <c r="N161" s="68">
        <v>0</v>
      </c>
      <c r="O161" s="68">
        <v>0</v>
      </c>
      <c r="P161" s="68">
        <v>0</v>
      </c>
      <c r="Q161" s="68">
        <v>1</v>
      </c>
      <c r="R161" s="68">
        <v>0</v>
      </c>
      <c r="S161" s="68">
        <v>0</v>
      </c>
      <c r="T161" s="68">
        <v>0</v>
      </c>
      <c r="U161" s="68">
        <v>0</v>
      </c>
      <c r="V161" s="68">
        <v>0</v>
      </c>
      <c r="W161" s="68">
        <v>0</v>
      </c>
      <c r="X161" s="68">
        <v>0</v>
      </c>
      <c r="Y161" s="68">
        <v>0</v>
      </c>
      <c r="Z161" s="68">
        <v>0</v>
      </c>
      <c r="AA161" s="68">
        <v>0</v>
      </c>
      <c r="AB161" s="68">
        <v>0</v>
      </c>
      <c r="AC161" s="68">
        <v>0</v>
      </c>
      <c r="AD161" s="68">
        <v>0</v>
      </c>
      <c r="AE161" s="68">
        <v>0</v>
      </c>
      <c r="AF161" s="68">
        <v>0</v>
      </c>
      <c r="AG161" s="68">
        <v>0</v>
      </c>
      <c r="AH161" s="68">
        <v>0</v>
      </c>
      <c r="AI161" s="68">
        <v>0</v>
      </c>
      <c r="AJ161" s="68">
        <v>0</v>
      </c>
      <c r="AK161" s="68">
        <v>0</v>
      </c>
      <c r="AL161" s="68">
        <v>0</v>
      </c>
      <c r="AM161" s="68">
        <v>0</v>
      </c>
      <c r="AN161" s="68">
        <v>0</v>
      </c>
      <c r="AO161" s="68">
        <v>0</v>
      </c>
      <c r="AP161" s="68">
        <v>0</v>
      </c>
      <c r="AQ161" s="68">
        <v>0</v>
      </c>
      <c r="AR161" s="68">
        <v>0</v>
      </c>
      <c r="AS161" s="68">
        <v>0</v>
      </c>
      <c r="AT161" s="68">
        <v>0</v>
      </c>
      <c r="AU161" s="68">
        <v>0</v>
      </c>
      <c r="AV161" s="68">
        <v>0</v>
      </c>
      <c r="AW161" s="68">
        <v>0</v>
      </c>
      <c r="AX161" s="68">
        <v>0</v>
      </c>
      <c r="AY161" s="68">
        <v>0</v>
      </c>
      <c r="AZ161" s="68">
        <v>0</v>
      </c>
      <c r="BA161" s="68">
        <v>0</v>
      </c>
      <c r="BB161" s="68">
        <v>0</v>
      </c>
      <c r="BC161" s="68">
        <v>0</v>
      </c>
      <c r="BD161" s="68">
        <v>0</v>
      </c>
      <c r="BE161" s="68">
        <v>0</v>
      </c>
      <c r="BF161" s="68">
        <v>0</v>
      </c>
      <c r="BG161" s="68">
        <v>0</v>
      </c>
      <c r="BH161" s="68">
        <v>0</v>
      </c>
      <c r="BI161" s="68">
        <v>0</v>
      </c>
      <c r="BJ161" s="68">
        <v>0</v>
      </c>
      <c r="BK161" s="68">
        <v>0</v>
      </c>
      <c r="BL161" s="68">
        <v>0</v>
      </c>
      <c r="BM161" s="68">
        <v>0</v>
      </c>
      <c r="BN161" s="68">
        <v>1</v>
      </c>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row>
    <row r="162" spans="1:127" x14ac:dyDescent="0.25">
      <c r="A162" s="74"/>
      <c r="B162" s="74"/>
      <c r="C162" s="66" t="s">
        <v>29</v>
      </c>
      <c r="D162" s="68">
        <v>0</v>
      </c>
      <c r="E162" s="68">
        <v>0</v>
      </c>
      <c r="F162" s="68">
        <v>0</v>
      </c>
      <c r="G162" s="68">
        <v>0</v>
      </c>
      <c r="H162" s="68">
        <v>0</v>
      </c>
      <c r="I162" s="68">
        <v>0</v>
      </c>
      <c r="J162" s="68">
        <v>0</v>
      </c>
      <c r="K162" s="68">
        <v>0</v>
      </c>
      <c r="L162" s="68">
        <v>0</v>
      </c>
      <c r="M162" s="68">
        <v>0</v>
      </c>
      <c r="N162" s="68">
        <v>0</v>
      </c>
      <c r="O162" s="68">
        <v>0</v>
      </c>
      <c r="P162" s="68">
        <v>0</v>
      </c>
      <c r="Q162" s="68">
        <v>0</v>
      </c>
      <c r="R162" s="68">
        <v>1</v>
      </c>
      <c r="S162" s="68">
        <v>0</v>
      </c>
      <c r="T162" s="68">
        <v>0</v>
      </c>
      <c r="U162" s="68">
        <v>0</v>
      </c>
      <c r="V162" s="68">
        <v>0</v>
      </c>
      <c r="W162" s="68">
        <v>0</v>
      </c>
      <c r="X162" s="68">
        <v>0</v>
      </c>
      <c r="Y162" s="68">
        <v>0</v>
      </c>
      <c r="Z162" s="68">
        <v>0</v>
      </c>
      <c r="AA162" s="68">
        <v>0</v>
      </c>
      <c r="AB162" s="68">
        <v>0</v>
      </c>
      <c r="AC162" s="68">
        <v>0</v>
      </c>
      <c r="AD162" s="68">
        <v>0</v>
      </c>
      <c r="AE162" s="68">
        <v>0</v>
      </c>
      <c r="AF162" s="68">
        <v>0</v>
      </c>
      <c r="AG162" s="68">
        <v>0</v>
      </c>
      <c r="AH162" s="68">
        <v>0</v>
      </c>
      <c r="AI162" s="68">
        <v>0</v>
      </c>
      <c r="AJ162" s="68">
        <v>0</v>
      </c>
      <c r="AK162" s="68">
        <v>0</v>
      </c>
      <c r="AL162" s="68">
        <v>0</v>
      </c>
      <c r="AM162" s="68">
        <v>0</v>
      </c>
      <c r="AN162" s="68">
        <v>0</v>
      </c>
      <c r="AO162" s="68">
        <v>0</v>
      </c>
      <c r="AP162" s="68">
        <v>0</v>
      </c>
      <c r="AQ162" s="68">
        <v>0</v>
      </c>
      <c r="AR162" s="68">
        <v>0</v>
      </c>
      <c r="AS162" s="68">
        <v>0</v>
      </c>
      <c r="AT162" s="68">
        <v>0</v>
      </c>
      <c r="AU162" s="68">
        <v>0</v>
      </c>
      <c r="AV162" s="68">
        <v>0</v>
      </c>
      <c r="AW162" s="68">
        <v>0</v>
      </c>
      <c r="AX162" s="68">
        <v>0</v>
      </c>
      <c r="AY162" s="68">
        <v>0</v>
      </c>
      <c r="AZ162" s="68">
        <v>0</v>
      </c>
      <c r="BA162" s="68">
        <v>0</v>
      </c>
      <c r="BB162" s="68">
        <v>0</v>
      </c>
      <c r="BC162" s="68">
        <v>0</v>
      </c>
      <c r="BD162" s="68">
        <v>0</v>
      </c>
      <c r="BE162" s="68">
        <v>0</v>
      </c>
      <c r="BF162" s="68">
        <v>0</v>
      </c>
      <c r="BG162" s="68">
        <v>0</v>
      </c>
      <c r="BH162" s="68">
        <v>0</v>
      </c>
      <c r="BI162" s="68">
        <v>0</v>
      </c>
      <c r="BJ162" s="68">
        <v>0</v>
      </c>
      <c r="BK162" s="68">
        <v>0</v>
      </c>
      <c r="BL162" s="68">
        <v>0</v>
      </c>
      <c r="BM162" s="68">
        <v>0</v>
      </c>
      <c r="BN162" s="68">
        <v>1</v>
      </c>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row>
    <row r="163" spans="1:127" x14ac:dyDescent="0.25">
      <c r="A163" s="74"/>
      <c r="B163" s="74"/>
      <c r="C163" s="66" t="s">
        <v>30</v>
      </c>
      <c r="D163" s="68">
        <v>0</v>
      </c>
      <c r="E163" s="68">
        <v>0</v>
      </c>
      <c r="F163" s="68">
        <v>0</v>
      </c>
      <c r="G163" s="68">
        <v>0</v>
      </c>
      <c r="H163" s="68">
        <v>0</v>
      </c>
      <c r="I163" s="68">
        <v>0</v>
      </c>
      <c r="J163" s="68">
        <v>0</v>
      </c>
      <c r="K163" s="68">
        <v>0</v>
      </c>
      <c r="L163" s="68">
        <v>0</v>
      </c>
      <c r="M163" s="68">
        <v>0</v>
      </c>
      <c r="N163" s="68">
        <v>0</v>
      </c>
      <c r="O163" s="68">
        <v>0</v>
      </c>
      <c r="P163" s="68">
        <v>0</v>
      </c>
      <c r="Q163" s="68">
        <v>0</v>
      </c>
      <c r="R163" s="68">
        <v>0</v>
      </c>
      <c r="S163" s="68">
        <v>0</v>
      </c>
      <c r="T163" s="68">
        <v>0</v>
      </c>
      <c r="U163" s="68">
        <v>0</v>
      </c>
      <c r="V163" s="68">
        <v>0</v>
      </c>
      <c r="W163" s="68">
        <v>1</v>
      </c>
      <c r="X163" s="68">
        <v>0</v>
      </c>
      <c r="Y163" s="68">
        <v>0</v>
      </c>
      <c r="Z163" s="68">
        <v>0</v>
      </c>
      <c r="AA163" s="68">
        <v>0</v>
      </c>
      <c r="AB163" s="68">
        <v>0</v>
      </c>
      <c r="AC163" s="68">
        <v>0</v>
      </c>
      <c r="AD163" s="68">
        <v>0</v>
      </c>
      <c r="AE163" s="68">
        <v>0</v>
      </c>
      <c r="AF163" s="68">
        <v>0</v>
      </c>
      <c r="AG163" s="68">
        <v>0</v>
      </c>
      <c r="AH163" s="68">
        <v>0</v>
      </c>
      <c r="AI163" s="68">
        <v>0</v>
      </c>
      <c r="AJ163" s="68">
        <v>0</v>
      </c>
      <c r="AK163" s="68">
        <v>0</v>
      </c>
      <c r="AL163" s="68">
        <v>0</v>
      </c>
      <c r="AM163" s="68">
        <v>0</v>
      </c>
      <c r="AN163" s="68">
        <v>0</v>
      </c>
      <c r="AO163" s="68">
        <v>0</v>
      </c>
      <c r="AP163" s="68">
        <v>0</v>
      </c>
      <c r="AQ163" s="68">
        <v>0</v>
      </c>
      <c r="AR163" s="68">
        <v>0</v>
      </c>
      <c r="AS163" s="68">
        <v>0</v>
      </c>
      <c r="AT163" s="68">
        <v>0</v>
      </c>
      <c r="AU163" s="68">
        <v>0</v>
      </c>
      <c r="AV163" s="68">
        <v>0</v>
      </c>
      <c r="AW163" s="68">
        <v>0</v>
      </c>
      <c r="AX163" s="68">
        <v>0</v>
      </c>
      <c r="AY163" s="68">
        <v>0</v>
      </c>
      <c r="AZ163" s="68">
        <v>0</v>
      </c>
      <c r="BA163" s="68">
        <v>0</v>
      </c>
      <c r="BB163" s="68">
        <v>0</v>
      </c>
      <c r="BC163" s="68">
        <v>0</v>
      </c>
      <c r="BD163" s="68">
        <v>0</v>
      </c>
      <c r="BE163" s="68">
        <v>0</v>
      </c>
      <c r="BF163" s="68">
        <v>0</v>
      </c>
      <c r="BG163" s="68">
        <v>0</v>
      </c>
      <c r="BH163" s="68">
        <v>0</v>
      </c>
      <c r="BI163" s="68">
        <v>0</v>
      </c>
      <c r="BJ163" s="68">
        <v>0</v>
      </c>
      <c r="BK163" s="68">
        <v>0</v>
      </c>
      <c r="BL163" s="68">
        <v>0</v>
      </c>
      <c r="BM163" s="68">
        <v>0</v>
      </c>
      <c r="BN163" s="68">
        <v>1</v>
      </c>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row>
    <row r="164" spans="1:127" x14ac:dyDescent="0.25">
      <c r="A164" s="74"/>
      <c r="B164" s="74"/>
      <c r="C164" s="66" t="s">
        <v>31</v>
      </c>
      <c r="D164" s="68">
        <v>0</v>
      </c>
      <c r="E164" s="68">
        <v>0</v>
      </c>
      <c r="F164" s="68">
        <v>0</v>
      </c>
      <c r="G164" s="68">
        <v>0</v>
      </c>
      <c r="H164" s="68">
        <v>0</v>
      </c>
      <c r="I164" s="68">
        <v>0</v>
      </c>
      <c r="J164" s="68">
        <v>0</v>
      </c>
      <c r="K164" s="68">
        <v>0</v>
      </c>
      <c r="L164" s="68">
        <v>0</v>
      </c>
      <c r="M164" s="68">
        <v>0</v>
      </c>
      <c r="N164" s="68">
        <v>0</v>
      </c>
      <c r="O164" s="68">
        <v>0</v>
      </c>
      <c r="P164" s="68">
        <v>0</v>
      </c>
      <c r="Q164" s="68">
        <v>0</v>
      </c>
      <c r="R164" s="68">
        <v>0</v>
      </c>
      <c r="S164" s="68">
        <v>0</v>
      </c>
      <c r="T164" s="68">
        <v>0</v>
      </c>
      <c r="U164" s="68">
        <v>0</v>
      </c>
      <c r="V164" s="68">
        <v>0</v>
      </c>
      <c r="W164" s="68">
        <v>0</v>
      </c>
      <c r="X164" s="68">
        <v>1</v>
      </c>
      <c r="Y164" s="68">
        <v>0</v>
      </c>
      <c r="Z164" s="68">
        <v>0</v>
      </c>
      <c r="AA164" s="68">
        <v>0</v>
      </c>
      <c r="AB164" s="68">
        <v>0</v>
      </c>
      <c r="AC164" s="68">
        <v>0</v>
      </c>
      <c r="AD164" s="68">
        <v>0</v>
      </c>
      <c r="AE164" s="68">
        <v>0</v>
      </c>
      <c r="AF164" s="68">
        <v>0</v>
      </c>
      <c r="AG164" s="68">
        <v>0</v>
      </c>
      <c r="AH164" s="68">
        <v>0</v>
      </c>
      <c r="AI164" s="68">
        <v>0</v>
      </c>
      <c r="AJ164" s="68">
        <v>0</v>
      </c>
      <c r="AK164" s="68">
        <v>0</v>
      </c>
      <c r="AL164" s="68">
        <v>0</v>
      </c>
      <c r="AM164" s="68">
        <v>0</v>
      </c>
      <c r="AN164" s="68">
        <v>0</v>
      </c>
      <c r="AO164" s="68">
        <v>0</v>
      </c>
      <c r="AP164" s="68">
        <v>0</v>
      </c>
      <c r="AQ164" s="68">
        <v>0</v>
      </c>
      <c r="AR164" s="68">
        <v>0</v>
      </c>
      <c r="AS164" s="68">
        <v>0</v>
      </c>
      <c r="AT164" s="68">
        <v>0</v>
      </c>
      <c r="AU164" s="68">
        <v>0</v>
      </c>
      <c r="AV164" s="68">
        <v>0</v>
      </c>
      <c r="AW164" s="68">
        <v>0</v>
      </c>
      <c r="AX164" s="68">
        <v>0</v>
      </c>
      <c r="AY164" s="68">
        <v>0</v>
      </c>
      <c r="AZ164" s="68">
        <v>0</v>
      </c>
      <c r="BA164" s="68">
        <v>0</v>
      </c>
      <c r="BB164" s="68">
        <v>0</v>
      </c>
      <c r="BC164" s="68">
        <v>0</v>
      </c>
      <c r="BD164" s="68">
        <v>0</v>
      </c>
      <c r="BE164" s="68">
        <v>0</v>
      </c>
      <c r="BF164" s="68">
        <v>0</v>
      </c>
      <c r="BG164" s="68">
        <v>0</v>
      </c>
      <c r="BH164" s="68">
        <v>0</v>
      </c>
      <c r="BI164" s="68">
        <v>0</v>
      </c>
      <c r="BJ164" s="68">
        <v>0</v>
      </c>
      <c r="BK164" s="68">
        <v>0</v>
      </c>
      <c r="BL164" s="68">
        <v>0</v>
      </c>
      <c r="BM164" s="68">
        <v>0</v>
      </c>
      <c r="BN164" s="68">
        <v>1</v>
      </c>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row>
    <row r="165" spans="1:127" x14ac:dyDescent="0.25">
      <c r="A165" s="74"/>
      <c r="B165" s="74"/>
      <c r="C165" s="66" t="s">
        <v>32</v>
      </c>
      <c r="D165" s="68">
        <v>0</v>
      </c>
      <c r="E165" s="68">
        <v>0</v>
      </c>
      <c r="F165" s="68">
        <v>0</v>
      </c>
      <c r="G165" s="68">
        <v>0</v>
      </c>
      <c r="H165" s="68">
        <v>0</v>
      </c>
      <c r="I165" s="68">
        <v>0</v>
      </c>
      <c r="J165" s="68">
        <v>0</v>
      </c>
      <c r="K165" s="68">
        <v>0</v>
      </c>
      <c r="L165" s="68">
        <v>0</v>
      </c>
      <c r="M165" s="68">
        <v>0</v>
      </c>
      <c r="N165" s="68">
        <v>0</v>
      </c>
      <c r="O165" s="68">
        <v>0</v>
      </c>
      <c r="P165" s="68">
        <v>0</v>
      </c>
      <c r="Q165" s="68">
        <v>0</v>
      </c>
      <c r="R165" s="68">
        <v>0</v>
      </c>
      <c r="S165" s="68">
        <v>0</v>
      </c>
      <c r="T165" s="68">
        <v>0</v>
      </c>
      <c r="U165" s="68">
        <v>0</v>
      </c>
      <c r="V165" s="68">
        <v>0</v>
      </c>
      <c r="W165" s="68">
        <v>0</v>
      </c>
      <c r="X165" s="68">
        <v>0</v>
      </c>
      <c r="Y165" s="68">
        <v>1</v>
      </c>
      <c r="Z165" s="68">
        <v>0</v>
      </c>
      <c r="AA165" s="68">
        <v>0</v>
      </c>
      <c r="AB165" s="68">
        <v>0</v>
      </c>
      <c r="AC165" s="68">
        <v>0</v>
      </c>
      <c r="AD165" s="68">
        <v>0</v>
      </c>
      <c r="AE165" s="68">
        <v>0</v>
      </c>
      <c r="AF165" s="68">
        <v>0</v>
      </c>
      <c r="AG165" s="68">
        <v>0</v>
      </c>
      <c r="AH165" s="68">
        <v>0</v>
      </c>
      <c r="AI165" s="68">
        <v>0</v>
      </c>
      <c r="AJ165" s="68">
        <v>0</v>
      </c>
      <c r="AK165" s="68">
        <v>0</v>
      </c>
      <c r="AL165" s="68">
        <v>0</v>
      </c>
      <c r="AM165" s="68">
        <v>0</v>
      </c>
      <c r="AN165" s="68">
        <v>0</v>
      </c>
      <c r="AO165" s="68">
        <v>0</v>
      </c>
      <c r="AP165" s="68">
        <v>0</v>
      </c>
      <c r="AQ165" s="68">
        <v>0</v>
      </c>
      <c r="AR165" s="68">
        <v>0</v>
      </c>
      <c r="AS165" s="68">
        <v>0</v>
      </c>
      <c r="AT165" s="68">
        <v>0</v>
      </c>
      <c r="AU165" s="68">
        <v>0</v>
      </c>
      <c r="AV165" s="68">
        <v>0</v>
      </c>
      <c r="AW165" s="68">
        <v>0</v>
      </c>
      <c r="AX165" s="68">
        <v>0</v>
      </c>
      <c r="AY165" s="68">
        <v>0</v>
      </c>
      <c r="AZ165" s="68">
        <v>0</v>
      </c>
      <c r="BA165" s="68">
        <v>0</v>
      </c>
      <c r="BB165" s="68">
        <v>0</v>
      </c>
      <c r="BC165" s="68">
        <v>0</v>
      </c>
      <c r="BD165" s="68">
        <v>0</v>
      </c>
      <c r="BE165" s="68">
        <v>0</v>
      </c>
      <c r="BF165" s="68">
        <v>0</v>
      </c>
      <c r="BG165" s="68">
        <v>0</v>
      </c>
      <c r="BH165" s="68">
        <v>0</v>
      </c>
      <c r="BI165" s="68">
        <v>0</v>
      </c>
      <c r="BJ165" s="68">
        <v>0</v>
      </c>
      <c r="BK165" s="68">
        <v>0</v>
      </c>
      <c r="BL165" s="68">
        <v>0</v>
      </c>
      <c r="BM165" s="68">
        <v>0</v>
      </c>
      <c r="BN165" s="68">
        <v>1</v>
      </c>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row>
    <row r="166" spans="1:127" x14ac:dyDescent="0.25">
      <c r="A166" s="74"/>
      <c r="B166" s="75" t="s">
        <v>212</v>
      </c>
      <c r="C166" s="74"/>
      <c r="D166" s="68">
        <v>0</v>
      </c>
      <c r="E166" s="68">
        <v>0</v>
      </c>
      <c r="F166" s="68">
        <v>0</v>
      </c>
      <c r="G166" s="68">
        <v>0</v>
      </c>
      <c r="H166" s="68">
        <v>1</v>
      </c>
      <c r="I166" s="68">
        <v>0</v>
      </c>
      <c r="J166" s="68">
        <v>1</v>
      </c>
      <c r="K166" s="68">
        <v>1</v>
      </c>
      <c r="L166" s="68">
        <v>0</v>
      </c>
      <c r="M166" s="68">
        <v>1</v>
      </c>
      <c r="N166" s="68">
        <v>0</v>
      </c>
      <c r="O166" s="68">
        <v>1</v>
      </c>
      <c r="P166" s="68">
        <v>0</v>
      </c>
      <c r="Q166" s="68">
        <v>1</v>
      </c>
      <c r="R166" s="68">
        <v>1</v>
      </c>
      <c r="S166" s="68">
        <v>1</v>
      </c>
      <c r="T166" s="68">
        <v>1</v>
      </c>
      <c r="U166" s="68">
        <v>1</v>
      </c>
      <c r="V166" s="68">
        <v>1</v>
      </c>
      <c r="W166" s="68">
        <v>1</v>
      </c>
      <c r="X166" s="68">
        <v>1</v>
      </c>
      <c r="Y166" s="68">
        <v>1</v>
      </c>
      <c r="Z166" s="68">
        <v>0</v>
      </c>
      <c r="AA166" s="68">
        <v>0</v>
      </c>
      <c r="AB166" s="68">
        <v>0</v>
      </c>
      <c r="AC166" s="68">
        <v>0</v>
      </c>
      <c r="AD166" s="68">
        <v>0</v>
      </c>
      <c r="AE166" s="68">
        <v>0</v>
      </c>
      <c r="AF166" s="68">
        <v>0</v>
      </c>
      <c r="AG166" s="68">
        <v>0</v>
      </c>
      <c r="AH166" s="68">
        <v>0</v>
      </c>
      <c r="AI166" s="68">
        <v>0</v>
      </c>
      <c r="AJ166" s="68">
        <v>0</v>
      </c>
      <c r="AK166" s="68">
        <v>0</v>
      </c>
      <c r="AL166" s="68">
        <v>0</v>
      </c>
      <c r="AM166" s="68">
        <v>0</v>
      </c>
      <c r="AN166" s="68">
        <v>0</v>
      </c>
      <c r="AO166" s="68">
        <v>0</v>
      </c>
      <c r="AP166" s="68">
        <v>0</v>
      </c>
      <c r="AQ166" s="68">
        <v>0</v>
      </c>
      <c r="AR166" s="68">
        <v>0</v>
      </c>
      <c r="AS166" s="68">
        <v>0</v>
      </c>
      <c r="AT166" s="68">
        <v>0</v>
      </c>
      <c r="AU166" s="68">
        <v>0</v>
      </c>
      <c r="AV166" s="68">
        <v>0</v>
      </c>
      <c r="AW166" s="68">
        <v>0</v>
      </c>
      <c r="AX166" s="68">
        <v>0</v>
      </c>
      <c r="AY166" s="68">
        <v>0</v>
      </c>
      <c r="AZ166" s="68">
        <v>0</v>
      </c>
      <c r="BA166" s="68">
        <v>0</v>
      </c>
      <c r="BB166" s="68">
        <v>0</v>
      </c>
      <c r="BC166" s="68">
        <v>0</v>
      </c>
      <c r="BD166" s="68">
        <v>0</v>
      </c>
      <c r="BE166" s="68">
        <v>0</v>
      </c>
      <c r="BF166" s="68">
        <v>0</v>
      </c>
      <c r="BG166" s="68">
        <v>0</v>
      </c>
      <c r="BH166" s="68">
        <v>0</v>
      </c>
      <c r="BI166" s="68">
        <v>0</v>
      </c>
      <c r="BJ166" s="68">
        <v>0</v>
      </c>
      <c r="BK166" s="68">
        <v>0</v>
      </c>
      <c r="BL166" s="68">
        <v>0</v>
      </c>
      <c r="BM166" s="68">
        <v>0</v>
      </c>
      <c r="BN166" s="68">
        <v>14</v>
      </c>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row>
    <row r="167" spans="1:127" x14ac:dyDescent="0.25">
      <c r="A167" s="75" t="s">
        <v>219</v>
      </c>
      <c r="B167" s="74"/>
      <c r="C167" s="74"/>
      <c r="D167" s="68">
        <v>0</v>
      </c>
      <c r="E167" s="68">
        <v>0</v>
      </c>
      <c r="F167" s="68">
        <v>0</v>
      </c>
      <c r="G167" s="68">
        <v>0</v>
      </c>
      <c r="H167" s="68">
        <v>1</v>
      </c>
      <c r="I167" s="68">
        <v>0</v>
      </c>
      <c r="J167" s="68">
        <v>1</v>
      </c>
      <c r="K167" s="68">
        <v>1</v>
      </c>
      <c r="L167" s="68">
        <v>0</v>
      </c>
      <c r="M167" s="68">
        <v>1</v>
      </c>
      <c r="N167" s="68">
        <v>0</v>
      </c>
      <c r="O167" s="68">
        <v>1</v>
      </c>
      <c r="P167" s="68">
        <v>0</v>
      </c>
      <c r="Q167" s="68">
        <v>1</v>
      </c>
      <c r="R167" s="68">
        <v>1</v>
      </c>
      <c r="S167" s="68">
        <v>1</v>
      </c>
      <c r="T167" s="68">
        <v>1</v>
      </c>
      <c r="U167" s="68">
        <v>1</v>
      </c>
      <c r="V167" s="68">
        <v>1</v>
      </c>
      <c r="W167" s="68">
        <v>1</v>
      </c>
      <c r="X167" s="68">
        <v>1</v>
      </c>
      <c r="Y167" s="68">
        <v>1</v>
      </c>
      <c r="Z167" s="68">
        <v>0</v>
      </c>
      <c r="AA167" s="68">
        <v>0</v>
      </c>
      <c r="AB167" s="68">
        <v>0</v>
      </c>
      <c r="AC167" s="68">
        <v>0</v>
      </c>
      <c r="AD167" s="68">
        <v>0</v>
      </c>
      <c r="AE167" s="68">
        <v>0</v>
      </c>
      <c r="AF167" s="68">
        <v>0</v>
      </c>
      <c r="AG167" s="68">
        <v>0</v>
      </c>
      <c r="AH167" s="68">
        <v>0</v>
      </c>
      <c r="AI167" s="68">
        <v>0</v>
      </c>
      <c r="AJ167" s="68">
        <v>0</v>
      </c>
      <c r="AK167" s="68">
        <v>0</v>
      </c>
      <c r="AL167" s="68">
        <v>0</v>
      </c>
      <c r="AM167" s="68">
        <v>0</v>
      </c>
      <c r="AN167" s="68">
        <v>0</v>
      </c>
      <c r="AO167" s="68">
        <v>0</v>
      </c>
      <c r="AP167" s="68">
        <v>0</v>
      </c>
      <c r="AQ167" s="68">
        <v>0</v>
      </c>
      <c r="AR167" s="68">
        <v>0</v>
      </c>
      <c r="AS167" s="68">
        <v>0</v>
      </c>
      <c r="AT167" s="68">
        <v>0</v>
      </c>
      <c r="AU167" s="68">
        <v>0</v>
      </c>
      <c r="AV167" s="68">
        <v>0</v>
      </c>
      <c r="AW167" s="68">
        <v>0</v>
      </c>
      <c r="AX167" s="68">
        <v>0</v>
      </c>
      <c r="AY167" s="68">
        <v>0</v>
      </c>
      <c r="AZ167" s="68">
        <v>0</v>
      </c>
      <c r="BA167" s="68">
        <v>0</v>
      </c>
      <c r="BB167" s="68">
        <v>0</v>
      </c>
      <c r="BC167" s="68">
        <v>0</v>
      </c>
      <c r="BD167" s="68">
        <v>0</v>
      </c>
      <c r="BE167" s="68">
        <v>0</v>
      </c>
      <c r="BF167" s="68">
        <v>0</v>
      </c>
      <c r="BG167" s="68">
        <v>0</v>
      </c>
      <c r="BH167" s="68">
        <v>0</v>
      </c>
      <c r="BI167" s="68">
        <v>0</v>
      </c>
      <c r="BJ167" s="68">
        <v>0</v>
      </c>
      <c r="BK167" s="68">
        <v>0</v>
      </c>
      <c r="BL167" s="68">
        <v>0</v>
      </c>
      <c r="BM167" s="68">
        <v>0</v>
      </c>
      <c r="BN167" s="68">
        <v>14</v>
      </c>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row>
    <row r="168" spans="1:127" x14ac:dyDescent="0.25">
      <c r="A168" s="75" t="s">
        <v>33</v>
      </c>
      <c r="B168" s="75" t="s">
        <v>5</v>
      </c>
      <c r="C168" s="66" t="s">
        <v>34</v>
      </c>
      <c r="D168" s="68">
        <v>0</v>
      </c>
      <c r="E168" s="68">
        <v>0</v>
      </c>
      <c r="F168" s="68">
        <v>0</v>
      </c>
      <c r="G168" s="68">
        <v>0</v>
      </c>
      <c r="H168" s="68">
        <v>0</v>
      </c>
      <c r="I168" s="68">
        <v>0</v>
      </c>
      <c r="J168" s="68">
        <v>0</v>
      </c>
      <c r="K168" s="68">
        <v>0</v>
      </c>
      <c r="L168" s="68">
        <v>0</v>
      </c>
      <c r="M168" s="68">
        <v>0</v>
      </c>
      <c r="N168" s="68">
        <v>0</v>
      </c>
      <c r="O168" s="68">
        <v>0</v>
      </c>
      <c r="P168" s="68">
        <v>0</v>
      </c>
      <c r="Q168" s="68">
        <v>0</v>
      </c>
      <c r="R168" s="68">
        <v>0</v>
      </c>
      <c r="S168" s="68">
        <v>0</v>
      </c>
      <c r="T168" s="68">
        <v>0</v>
      </c>
      <c r="U168" s="68">
        <v>0</v>
      </c>
      <c r="V168" s="68">
        <v>0</v>
      </c>
      <c r="W168" s="68">
        <v>0</v>
      </c>
      <c r="X168" s="68">
        <v>0</v>
      </c>
      <c r="Y168" s="68">
        <v>0</v>
      </c>
      <c r="Z168" s="68">
        <v>0</v>
      </c>
      <c r="AA168" s="68">
        <v>0</v>
      </c>
      <c r="AB168" s="68">
        <v>0</v>
      </c>
      <c r="AC168" s="68">
        <v>0</v>
      </c>
      <c r="AD168" s="68">
        <v>0</v>
      </c>
      <c r="AE168" s="68">
        <v>1</v>
      </c>
      <c r="AF168" s="68">
        <v>0</v>
      </c>
      <c r="AG168" s="68">
        <v>0</v>
      </c>
      <c r="AH168" s="68">
        <v>0</v>
      </c>
      <c r="AI168" s="68">
        <v>0</v>
      </c>
      <c r="AJ168" s="68">
        <v>0</v>
      </c>
      <c r="AK168" s="68">
        <v>0</v>
      </c>
      <c r="AL168" s="68">
        <v>0</v>
      </c>
      <c r="AM168" s="68">
        <v>0</v>
      </c>
      <c r="AN168" s="68">
        <v>0</v>
      </c>
      <c r="AO168" s="68">
        <v>0</v>
      </c>
      <c r="AP168" s="68">
        <v>0</v>
      </c>
      <c r="AQ168" s="68">
        <v>0</v>
      </c>
      <c r="AR168" s="68">
        <v>0</v>
      </c>
      <c r="AS168" s="68">
        <v>0</v>
      </c>
      <c r="AT168" s="68">
        <v>0</v>
      </c>
      <c r="AU168" s="68">
        <v>0</v>
      </c>
      <c r="AV168" s="68">
        <v>0</v>
      </c>
      <c r="AW168" s="68">
        <v>0</v>
      </c>
      <c r="AX168" s="68">
        <v>0</v>
      </c>
      <c r="AY168" s="68">
        <v>0</v>
      </c>
      <c r="AZ168" s="68">
        <v>0</v>
      </c>
      <c r="BA168" s="68">
        <v>0</v>
      </c>
      <c r="BB168" s="68">
        <v>0</v>
      </c>
      <c r="BC168" s="68">
        <v>0</v>
      </c>
      <c r="BD168" s="68">
        <v>0</v>
      </c>
      <c r="BE168" s="68">
        <v>0</v>
      </c>
      <c r="BF168" s="68">
        <v>0</v>
      </c>
      <c r="BG168" s="68">
        <v>0</v>
      </c>
      <c r="BH168" s="68">
        <v>0</v>
      </c>
      <c r="BI168" s="68">
        <v>0</v>
      </c>
      <c r="BJ168" s="68">
        <v>0</v>
      </c>
      <c r="BK168" s="68">
        <v>0</v>
      </c>
      <c r="BL168" s="68">
        <v>0</v>
      </c>
      <c r="BM168" s="68">
        <v>0</v>
      </c>
      <c r="BN168" s="68">
        <v>1</v>
      </c>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row>
    <row r="169" spans="1:127" x14ac:dyDescent="0.25">
      <c r="A169" s="74"/>
      <c r="B169" s="74"/>
      <c r="C169" s="66" t="s">
        <v>35</v>
      </c>
      <c r="D169" s="68">
        <v>0</v>
      </c>
      <c r="E169" s="68">
        <v>0</v>
      </c>
      <c r="F169" s="68">
        <v>0</v>
      </c>
      <c r="G169" s="68">
        <v>0</v>
      </c>
      <c r="H169" s="68">
        <v>0</v>
      </c>
      <c r="I169" s="68">
        <v>0</v>
      </c>
      <c r="J169" s="68">
        <v>0</v>
      </c>
      <c r="K169" s="68">
        <v>0</v>
      </c>
      <c r="L169" s="68">
        <v>0</v>
      </c>
      <c r="M169" s="68">
        <v>0</v>
      </c>
      <c r="N169" s="68">
        <v>0</v>
      </c>
      <c r="O169" s="68">
        <v>0</v>
      </c>
      <c r="P169" s="68">
        <v>0</v>
      </c>
      <c r="Q169" s="68">
        <v>0</v>
      </c>
      <c r="R169" s="68">
        <v>0</v>
      </c>
      <c r="S169" s="68">
        <v>0</v>
      </c>
      <c r="T169" s="68">
        <v>0</v>
      </c>
      <c r="U169" s="68">
        <v>0</v>
      </c>
      <c r="V169" s="68">
        <v>0</v>
      </c>
      <c r="W169" s="68">
        <v>0</v>
      </c>
      <c r="X169" s="68">
        <v>0</v>
      </c>
      <c r="Y169" s="68">
        <v>0</v>
      </c>
      <c r="Z169" s="68">
        <v>0</v>
      </c>
      <c r="AA169" s="68">
        <v>0</v>
      </c>
      <c r="AB169" s="68">
        <v>0</v>
      </c>
      <c r="AC169" s="68">
        <v>0</v>
      </c>
      <c r="AD169" s="68">
        <v>0</v>
      </c>
      <c r="AE169" s="68">
        <v>0</v>
      </c>
      <c r="AF169" s="68">
        <v>0</v>
      </c>
      <c r="AG169" s="68">
        <v>1</v>
      </c>
      <c r="AH169" s="68">
        <v>0</v>
      </c>
      <c r="AI169" s="68">
        <v>0</v>
      </c>
      <c r="AJ169" s="68">
        <v>0</v>
      </c>
      <c r="AK169" s="68">
        <v>0</v>
      </c>
      <c r="AL169" s="68">
        <v>0</v>
      </c>
      <c r="AM169" s="68">
        <v>0</v>
      </c>
      <c r="AN169" s="68">
        <v>0</v>
      </c>
      <c r="AO169" s="68">
        <v>0</v>
      </c>
      <c r="AP169" s="68">
        <v>0</v>
      </c>
      <c r="AQ169" s="68">
        <v>0</v>
      </c>
      <c r="AR169" s="68">
        <v>0</v>
      </c>
      <c r="AS169" s="68">
        <v>0</v>
      </c>
      <c r="AT169" s="68">
        <v>0</v>
      </c>
      <c r="AU169" s="68">
        <v>0</v>
      </c>
      <c r="AV169" s="68">
        <v>0</v>
      </c>
      <c r="AW169" s="68">
        <v>0</v>
      </c>
      <c r="AX169" s="68">
        <v>0</v>
      </c>
      <c r="AY169" s="68">
        <v>0</v>
      </c>
      <c r="AZ169" s="68">
        <v>0</v>
      </c>
      <c r="BA169" s="68">
        <v>0</v>
      </c>
      <c r="BB169" s="68">
        <v>0</v>
      </c>
      <c r="BC169" s="68">
        <v>0</v>
      </c>
      <c r="BD169" s="68">
        <v>0</v>
      </c>
      <c r="BE169" s="68">
        <v>0</v>
      </c>
      <c r="BF169" s="68">
        <v>0</v>
      </c>
      <c r="BG169" s="68">
        <v>0</v>
      </c>
      <c r="BH169" s="68">
        <v>0</v>
      </c>
      <c r="BI169" s="68">
        <v>0</v>
      </c>
      <c r="BJ169" s="68">
        <v>0</v>
      </c>
      <c r="BK169" s="68">
        <v>0</v>
      </c>
      <c r="BL169" s="68">
        <v>0</v>
      </c>
      <c r="BM169" s="68">
        <v>0</v>
      </c>
      <c r="BN169" s="68">
        <v>1</v>
      </c>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row>
    <row r="170" spans="1:127" x14ac:dyDescent="0.25">
      <c r="A170" s="74"/>
      <c r="B170" s="74"/>
      <c r="C170" s="66" t="s">
        <v>36</v>
      </c>
      <c r="D170" s="68">
        <v>0</v>
      </c>
      <c r="E170" s="68">
        <v>0</v>
      </c>
      <c r="F170" s="68">
        <v>0</v>
      </c>
      <c r="G170" s="68">
        <v>0</v>
      </c>
      <c r="H170" s="68">
        <v>0</v>
      </c>
      <c r="I170" s="68">
        <v>0</v>
      </c>
      <c r="J170" s="68">
        <v>0</v>
      </c>
      <c r="K170" s="68">
        <v>0</v>
      </c>
      <c r="L170" s="68">
        <v>0</v>
      </c>
      <c r="M170" s="68">
        <v>0</v>
      </c>
      <c r="N170" s="68">
        <v>0</v>
      </c>
      <c r="O170" s="68">
        <v>0</v>
      </c>
      <c r="P170" s="68">
        <v>0</v>
      </c>
      <c r="Q170" s="68">
        <v>0</v>
      </c>
      <c r="R170" s="68">
        <v>0</v>
      </c>
      <c r="S170" s="68">
        <v>0</v>
      </c>
      <c r="T170" s="68">
        <v>0</v>
      </c>
      <c r="U170" s="68">
        <v>0</v>
      </c>
      <c r="V170" s="68">
        <v>0</v>
      </c>
      <c r="W170" s="68">
        <v>0</v>
      </c>
      <c r="X170" s="68">
        <v>0</v>
      </c>
      <c r="Y170" s="68">
        <v>0</v>
      </c>
      <c r="Z170" s="68">
        <v>0</v>
      </c>
      <c r="AA170" s="68">
        <v>0</v>
      </c>
      <c r="AB170" s="68">
        <v>0</v>
      </c>
      <c r="AC170" s="68">
        <v>0</v>
      </c>
      <c r="AD170" s="68">
        <v>0</v>
      </c>
      <c r="AE170" s="68">
        <v>0</v>
      </c>
      <c r="AF170" s="68">
        <v>0</v>
      </c>
      <c r="AG170" s="68">
        <v>0</v>
      </c>
      <c r="AH170" s="68">
        <v>1</v>
      </c>
      <c r="AI170" s="68">
        <v>0</v>
      </c>
      <c r="AJ170" s="68">
        <v>0</v>
      </c>
      <c r="AK170" s="68">
        <v>0</v>
      </c>
      <c r="AL170" s="68">
        <v>0</v>
      </c>
      <c r="AM170" s="68">
        <v>0</v>
      </c>
      <c r="AN170" s="68">
        <v>0</v>
      </c>
      <c r="AO170" s="68">
        <v>0</v>
      </c>
      <c r="AP170" s="68">
        <v>0</v>
      </c>
      <c r="AQ170" s="68">
        <v>0</v>
      </c>
      <c r="AR170" s="68">
        <v>0</v>
      </c>
      <c r="AS170" s="68">
        <v>0</v>
      </c>
      <c r="AT170" s="68">
        <v>0</v>
      </c>
      <c r="AU170" s="68">
        <v>0</v>
      </c>
      <c r="AV170" s="68">
        <v>0</v>
      </c>
      <c r="AW170" s="68">
        <v>0</v>
      </c>
      <c r="AX170" s="68">
        <v>0</v>
      </c>
      <c r="AY170" s="68">
        <v>0</v>
      </c>
      <c r="AZ170" s="68">
        <v>0</v>
      </c>
      <c r="BA170" s="68">
        <v>0</v>
      </c>
      <c r="BB170" s="68">
        <v>0</v>
      </c>
      <c r="BC170" s="68">
        <v>0</v>
      </c>
      <c r="BD170" s="68">
        <v>0</v>
      </c>
      <c r="BE170" s="68">
        <v>0</v>
      </c>
      <c r="BF170" s="68">
        <v>0</v>
      </c>
      <c r="BG170" s="68">
        <v>0</v>
      </c>
      <c r="BH170" s="68">
        <v>0</v>
      </c>
      <c r="BI170" s="68">
        <v>0</v>
      </c>
      <c r="BJ170" s="68">
        <v>0</v>
      </c>
      <c r="BK170" s="68">
        <v>0</v>
      </c>
      <c r="BL170" s="68">
        <v>0</v>
      </c>
      <c r="BM170" s="68">
        <v>0</v>
      </c>
      <c r="BN170" s="68">
        <v>1</v>
      </c>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row>
    <row r="171" spans="1:127" x14ac:dyDescent="0.25">
      <c r="A171" s="74"/>
      <c r="B171" s="74"/>
      <c r="C171" s="66" t="s">
        <v>37</v>
      </c>
      <c r="D171" s="68">
        <v>0</v>
      </c>
      <c r="E171" s="68">
        <v>0</v>
      </c>
      <c r="F171" s="68">
        <v>0</v>
      </c>
      <c r="G171" s="68">
        <v>0</v>
      </c>
      <c r="H171" s="68">
        <v>0</v>
      </c>
      <c r="I171" s="68">
        <v>0</v>
      </c>
      <c r="J171" s="68">
        <v>0</v>
      </c>
      <c r="K171" s="68">
        <v>0</v>
      </c>
      <c r="L171" s="68">
        <v>0</v>
      </c>
      <c r="M171" s="68">
        <v>0</v>
      </c>
      <c r="N171" s="68">
        <v>0</v>
      </c>
      <c r="O171" s="68">
        <v>0</v>
      </c>
      <c r="P171" s="68">
        <v>0</v>
      </c>
      <c r="Q171" s="68">
        <v>0</v>
      </c>
      <c r="R171" s="68">
        <v>0</v>
      </c>
      <c r="S171" s="68">
        <v>0</v>
      </c>
      <c r="T171" s="68">
        <v>0</v>
      </c>
      <c r="U171" s="68">
        <v>0</v>
      </c>
      <c r="V171" s="68">
        <v>0</v>
      </c>
      <c r="W171" s="68">
        <v>0</v>
      </c>
      <c r="X171" s="68">
        <v>0</v>
      </c>
      <c r="Y171" s="68">
        <v>0</v>
      </c>
      <c r="Z171" s="68">
        <v>0</v>
      </c>
      <c r="AA171" s="68">
        <v>0</v>
      </c>
      <c r="AB171" s="68">
        <v>0</v>
      </c>
      <c r="AC171" s="68">
        <v>0</v>
      </c>
      <c r="AD171" s="68">
        <v>0</v>
      </c>
      <c r="AE171" s="68">
        <v>0</v>
      </c>
      <c r="AF171" s="68">
        <v>0</v>
      </c>
      <c r="AG171" s="68">
        <v>0</v>
      </c>
      <c r="AH171" s="68">
        <v>0</v>
      </c>
      <c r="AI171" s="68">
        <v>1</v>
      </c>
      <c r="AJ171" s="68">
        <v>0</v>
      </c>
      <c r="AK171" s="68">
        <v>0</v>
      </c>
      <c r="AL171" s="68">
        <v>0</v>
      </c>
      <c r="AM171" s="68">
        <v>0</v>
      </c>
      <c r="AN171" s="68">
        <v>0</v>
      </c>
      <c r="AO171" s="68">
        <v>0</v>
      </c>
      <c r="AP171" s="68">
        <v>0</v>
      </c>
      <c r="AQ171" s="68">
        <v>0</v>
      </c>
      <c r="AR171" s="68">
        <v>0</v>
      </c>
      <c r="AS171" s="68">
        <v>0</v>
      </c>
      <c r="AT171" s="68">
        <v>0</v>
      </c>
      <c r="AU171" s="68">
        <v>0</v>
      </c>
      <c r="AV171" s="68">
        <v>0</v>
      </c>
      <c r="AW171" s="68">
        <v>0</v>
      </c>
      <c r="AX171" s="68">
        <v>0</v>
      </c>
      <c r="AY171" s="68">
        <v>0</v>
      </c>
      <c r="AZ171" s="68">
        <v>0</v>
      </c>
      <c r="BA171" s="68">
        <v>0</v>
      </c>
      <c r="BB171" s="68">
        <v>0</v>
      </c>
      <c r="BC171" s="68">
        <v>0</v>
      </c>
      <c r="BD171" s="68">
        <v>0</v>
      </c>
      <c r="BE171" s="68">
        <v>0</v>
      </c>
      <c r="BF171" s="68">
        <v>0</v>
      </c>
      <c r="BG171" s="68">
        <v>0</v>
      </c>
      <c r="BH171" s="68">
        <v>0</v>
      </c>
      <c r="BI171" s="68">
        <v>0</v>
      </c>
      <c r="BJ171" s="68">
        <v>0</v>
      </c>
      <c r="BK171" s="68">
        <v>0</v>
      </c>
      <c r="BL171" s="68">
        <v>0</v>
      </c>
      <c r="BM171" s="68">
        <v>0</v>
      </c>
      <c r="BN171" s="68">
        <v>1</v>
      </c>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row>
    <row r="172" spans="1:127" x14ac:dyDescent="0.25">
      <c r="A172" s="74"/>
      <c r="B172" s="74"/>
      <c r="C172" s="66" t="s">
        <v>38</v>
      </c>
      <c r="D172" s="68">
        <v>0</v>
      </c>
      <c r="E172" s="68">
        <v>0</v>
      </c>
      <c r="F172" s="68">
        <v>0</v>
      </c>
      <c r="G172" s="68">
        <v>0</v>
      </c>
      <c r="H172" s="68">
        <v>0</v>
      </c>
      <c r="I172" s="68">
        <v>0</v>
      </c>
      <c r="J172" s="68">
        <v>0</v>
      </c>
      <c r="K172" s="68">
        <v>0</v>
      </c>
      <c r="L172" s="68">
        <v>0</v>
      </c>
      <c r="M172" s="68">
        <v>0</v>
      </c>
      <c r="N172" s="68">
        <v>0</v>
      </c>
      <c r="O172" s="68">
        <v>0</v>
      </c>
      <c r="P172" s="68">
        <v>0</v>
      </c>
      <c r="Q172" s="68">
        <v>0</v>
      </c>
      <c r="R172" s="68">
        <v>0</v>
      </c>
      <c r="S172" s="68">
        <v>0</v>
      </c>
      <c r="T172" s="68">
        <v>0</v>
      </c>
      <c r="U172" s="68">
        <v>0</v>
      </c>
      <c r="V172" s="68">
        <v>0</v>
      </c>
      <c r="W172" s="68">
        <v>0</v>
      </c>
      <c r="X172" s="68">
        <v>0</v>
      </c>
      <c r="Y172" s="68">
        <v>0</v>
      </c>
      <c r="Z172" s="68">
        <v>0</v>
      </c>
      <c r="AA172" s="68">
        <v>0</v>
      </c>
      <c r="AB172" s="68">
        <v>0</v>
      </c>
      <c r="AC172" s="68">
        <v>0</v>
      </c>
      <c r="AD172" s="68">
        <v>0</v>
      </c>
      <c r="AE172" s="68">
        <v>0</v>
      </c>
      <c r="AF172" s="68">
        <v>0</v>
      </c>
      <c r="AG172" s="68">
        <v>0</v>
      </c>
      <c r="AH172" s="68">
        <v>0</v>
      </c>
      <c r="AI172" s="68">
        <v>0</v>
      </c>
      <c r="AJ172" s="68">
        <v>1</v>
      </c>
      <c r="AK172" s="68">
        <v>0</v>
      </c>
      <c r="AL172" s="68">
        <v>0</v>
      </c>
      <c r="AM172" s="68">
        <v>0</v>
      </c>
      <c r="AN172" s="68">
        <v>0</v>
      </c>
      <c r="AO172" s="68">
        <v>0</v>
      </c>
      <c r="AP172" s="68">
        <v>0</v>
      </c>
      <c r="AQ172" s="68">
        <v>0</v>
      </c>
      <c r="AR172" s="68">
        <v>0</v>
      </c>
      <c r="AS172" s="68">
        <v>0</v>
      </c>
      <c r="AT172" s="68">
        <v>0</v>
      </c>
      <c r="AU172" s="68">
        <v>0</v>
      </c>
      <c r="AV172" s="68">
        <v>0</v>
      </c>
      <c r="AW172" s="68">
        <v>0</v>
      </c>
      <c r="AX172" s="68">
        <v>0</v>
      </c>
      <c r="AY172" s="68">
        <v>0</v>
      </c>
      <c r="AZ172" s="68">
        <v>0</v>
      </c>
      <c r="BA172" s="68">
        <v>0</v>
      </c>
      <c r="BB172" s="68">
        <v>0</v>
      </c>
      <c r="BC172" s="68">
        <v>0</v>
      </c>
      <c r="BD172" s="68">
        <v>0</v>
      </c>
      <c r="BE172" s="68">
        <v>0</v>
      </c>
      <c r="BF172" s="68">
        <v>0</v>
      </c>
      <c r="BG172" s="68">
        <v>0</v>
      </c>
      <c r="BH172" s="68">
        <v>0</v>
      </c>
      <c r="BI172" s="68">
        <v>0</v>
      </c>
      <c r="BJ172" s="68">
        <v>0</v>
      </c>
      <c r="BK172" s="68">
        <v>0</v>
      </c>
      <c r="BL172" s="68">
        <v>0</v>
      </c>
      <c r="BM172" s="68">
        <v>0</v>
      </c>
      <c r="BN172" s="68">
        <v>1</v>
      </c>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row>
    <row r="173" spans="1:127" x14ac:dyDescent="0.25">
      <c r="A173" s="74"/>
      <c r="B173" s="74"/>
      <c r="C173" s="66" t="s">
        <v>39</v>
      </c>
      <c r="D173" s="68">
        <v>0</v>
      </c>
      <c r="E173" s="68">
        <v>0</v>
      </c>
      <c r="F173" s="68">
        <v>0</v>
      </c>
      <c r="G173" s="68">
        <v>0</v>
      </c>
      <c r="H173" s="68">
        <v>0</v>
      </c>
      <c r="I173" s="68">
        <v>0</v>
      </c>
      <c r="J173" s="68">
        <v>0</v>
      </c>
      <c r="K173" s="68">
        <v>0</v>
      </c>
      <c r="L173" s="68">
        <v>0</v>
      </c>
      <c r="M173" s="68">
        <v>0</v>
      </c>
      <c r="N173" s="68">
        <v>0</v>
      </c>
      <c r="O173" s="68">
        <v>0</v>
      </c>
      <c r="P173" s="68">
        <v>0</v>
      </c>
      <c r="Q173" s="68">
        <v>0</v>
      </c>
      <c r="R173" s="68">
        <v>0</v>
      </c>
      <c r="S173" s="68">
        <v>0</v>
      </c>
      <c r="T173" s="68">
        <v>0</v>
      </c>
      <c r="U173" s="68">
        <v>0</v>
      </c>
      <c r="V173" s="68">
        <v>0</v>
      </c>
      <c r="W173" s="68">
        <v>0</v>
      </c>
      <c r="X173" s="68">
        <v>0</v>
      </c>
      <c r="Y173" s="68">
        <v>0</v>
      </c>
      <c r="Z173" s="68">
        <v>0</v>
      </c>
      <c r="AA173" s="68">
        <v>0</v>
      </c>
      <c r="AB173" s="68">
        <v>0</v>
      </c>
      <c r="AC173" s="68">
        <v>0</v>
      </c>
      <c r="AD173" s="68">
        <v>0</v>
      </c>
      <c r="AE173" s="68">
        <v>0</v>
      </c>
      <c r="AF173" s="68">
        <v>0</v>
      </c>
      <c r="AG173" s="68">
        <v>0</v>
      </c>
      <c r="AH173" s="68">
        <v>0</v>
      </c>
      <c r="AI173" s="68">
        <v>0</v>
      </c>
      <c r="AJ173" s="68">
        <v>0</v>
      </c>
      <c r="AK173" s="68">
        <v>1</v>
      </c>
      <c r="AL173" s="68">
        <v>0</v>
      </c>
      <c r="AM173" s="68">
        <v>0</v>
      </c>
      <c r="AN173" s="68">
        <v>0</v>
      </c>
      <c r="AO173" s="68">
        <v>0</v>
      </c>
      <c r="AP173" s="68">
        <v>0</v>
      </c>
      <c r="AQ173" s="68">
        <v>0</v>
      </c>
      <c r="AR173" s="68">
        <v>0</v>
      </c>
      <c r="AS173" s="68">
        <v>0</v>
      </c>
      <c r="AT173" s="68">
        <v>0</v>
      </c>
      <c r="AU173" s="68">
        <v>0</v>
      </c>
      <c r="AV173" s="68">
        <v>0</v>
      </c>
      <c r="AW173" s="68">
        <v>0</v>
      </c>
      <c r="AX173" s="68">
        <v>0</v>
      </c>
      <c r="AY173" s="68">
        <v>0</v>
      </c>
      <c r="AZ173" s="68">
        <v>0</v>
      </c>
      <c r="BA173" s="68">
        <v>0</v>
      </c>
      <c r="BB173" s="68">
        <v>0</v>
      </c>
      <c r="BC173" s="68">
        <v>0</v>
      </c>
      <c r="BD173" s="68">
        <v>0</v>
      </c>
      <c r="BE173" s="68">
        <v>0</v>
      </c>
      <c r="BF173" s="68">
        <v>0</v>
      </c>
      <c r="BG173" s="68">
        <v>0</v>
      </c>
      <c r="BH173" s="68">
        <v>0</v>
      </c>
      <c r="BI173" s="68">
        <v>0</v>
      </c>
      <c r="BJ173" s="68">
        <v>0</v>
      </c>
      <c r="BK173" s="68">
        <v>0</v>
      </c>
      <c r="BL173" s="68">
        <v>0</v>
      </c>
      <c r="BM173" s="68">
        <v>0</v>
      </c>
      <c r="BN173" s="68">
        <v>1</v>
      </c>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row>
    <row r="174" spans="1:127" x14ac:dyDescent="0.25">
      <c r="A174" s="74"/>
      <c r="B174" s="74"/>
      <c r="C174" s="66" t="s">
        <v>40</v>
      </c>
      <c r="D174" s="68">
        <v>0</v>
      </c>
      <c r="E174" s="68">
        <v>0</v>
      </c>
      <c r="F174" s="68">
        <v>0</v>
      </c>
      <c r="G174" s="68">
        <v>0</v>
      </c>
      <c r="H174" s="68">
        <v>0</v>
      </c>
      <c r="I174" s="68">
        <v>0</v>
      </c>
      <c r="J174" s="68">
        <v>0</v>
      </c>
      <c r="K174" s="68">
        <v>0</v>
      </c>
      <c r="L174" s="68">
        <v>0</v>
      </c>
      <c r="M174" s="68">
        <v>0</v>
      </c>
      <c r="N174" s="68">
        <v>0</v>
      </c>
      <c r="O174" s="68">
        <v>0</v>
      </c>
      <c r="P174" s="68">
        <v>0</v>
      </c>
      <c r="Q174" s="68">
        <v>0</v>
      </c>
      <c r="R174" s="68">
        <v>0</v>
      </c>
      <c r="S174" s="68">
        <v>0</v>
      </c>
      <c r="T174" s="68">
        <v>0</v>
      </c>
      <c r="U174" s="68">
        <v>0</v>
      </c>
      <c r="V174" s="68">
        <v>0</v>
      </c>
      <c r="W174" s="68">
        <v>0</v>
      </c>
      <c r="X174" s="68">
        <v>0</v>
      </c>
      <c r="Y174" s="68">
        <v>0</v>
      </c>
      <c r="Z174" s="68">
        <v>0</v>
      </c>
      <c r="AA174" s="68">
        <v>0</v>
      </c>
      <c r="AB174" s="68">
        <v>0</v>
      </c>
      <c r="AC174" s="68">
        <v>0</v>
      </c>
      <c r="AD174" s="68">
        <v>0</v>
      </c>
      <c r="AE174" s="68">
        <v>0</v>
      </c>
      <c r="AF174" s="68">
        <v>0</v>
      </c>
      <c r="AG174" s="68">
        <v>0</v>
      </c>
      <c r="AH174" s="68">
        <v>0</v>
      </c>
      <c r="AI174" s="68">
        <v>0</v>
      </c>
      <c r="AJ174" s="68">
        <v>0</v>
      </c>
      <c r="AK174" s="68">
        <v>0</v>
      </c>
      <c r="AL174" s="68">
        <v>1</v>
      </c>
      <c r="AM174" s="68">
        <v>0</v>
      </c>
      <c r="AN174" s="68">
        <v>0</v>
      </c>
      <c r="AO174" s="68">
        <v>0</v>
      </c>
      <c r="AP174" s="68">
        <v>0</v>
      </c>
      <c r="AQ174" s="68">
        <v>0</v>
      </c>
      <c r="AR174" s="68">
        <v>0</v>
      </c>
      <c r="AS174" s="68">
        <v>0</v>
      </c>
      <c r="AT174" s="68">
        <v>0</v>
      </c>
      <c r="AU174" s="68">
        <v>0</v>
      </c>
      <c r="AV174" s="68">
        <v>0</v>
      </c>
      <c r="AW174" s="68">
        <v>0</v>
      </c>
      <c r="AX174" s="68">
        <v>0</v>
      </c>
      <c r="AY174" s="68">
        <v>0</v>
      </c>
      <c r="AZ174" s="68">
        <v>0</v>
      </c>
      <c r="BA174" s="68">
        <v>0</v>
      </c>
      <c r="BB174" s="68">
        <v>0</v>
      </c>
      <c r="BC174" s="68">
        <v>0</v>
      </c>
      <c r="BD174" s="68">
        <v>0</v>
      </c>
      <c r="BE174" s="68">
        <v>0</v>
      </c>
      <c r="BF174" s="68">
        <v>0</v>
      </c>
      <c r="BG174" s="68">
        <v>0</v>
      </c>
      <c r="BH174" s="68">
        <v>0</v>
      </c>
      <c r="BI174" s="68">
        <v>0</v>
      </c>
      <c r="BJ174" s="68">
        <v>0</v>
      </c>
      <c r="BK174" s="68">
        <v>0</v>
      </c>
      <c r="BL174" s="68">
        <v>0</v>
      </c>
      <c r="BM174" s="68">
        <v>0</v>
      </c>
      <c r="BN174" s="68">
        <v>1</v>
      </c>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row>
    <row r="175" spans="1:127" x14ac:dyDescent="0.25">
      <c r="A175" s="74"/>
      <c r="B175" s="74"/>
      <c r="C175" s="66" t="s">
        <v>41</v>
      </c>
      <c r="D175" s="68">
        <v>0</v>
      </c>
      <c r="E175" s="68">
        <v>0</v>
      </c>
      <c r="F175" s="68">
        <v>0</v>
      </c>
      <c r="G175" s="68">
        <v>0</v>
      </c>
      <c r="H175" s="68">
        <v>0</v>
      </c>
      <c r="I175" s="68">
        <v>0</v>
      </c>
      <c r="J175" s="68">
        <v>0</v>
      </c>
      <c r="K175" s="68">
        <v>0</v>
      </c>
      <c r="L175" s="68">
        <v>0</v>
      </c>
      <c r="M175" s="68">
        <v>0</v>
      </c>
      <c r="N175" s="68">
        <v>0</v>
      </c>
      <c r="O175" s="68">
        <v>0</v>
      </c>
      <c r="P175" s="68">
        <v>0</v>
      </c>
      <c r="Q175" s="68">
        <v>0</v>
      </c>
      <c r="R175" s="68">
        <v>0</v>
      </c>
      <c r="S175" s="68">
        <v>0</v>
      </c>
      <c r="T175" s="68">
        <v>0</v>
      </c>
      <c r="U175" s="68">
        <v>0</v>
      </c>
      <c r="V175" s="68">
        <v>0</v>
      </c>
      <c r="W175" s="68">
        <v>0</v>
      </c>
      <c r="X175" s="68">
        <v>0</v>
      </c>
      <c r="Y175" s="68">
        <v>0</v>
      </c>
      <c r="Z175" s="68">
        <v>0</v>
      </c>
      <c r="AA175" s="68">
        <v>0</v>
      </c>
      <c r="AB175" s="68">
        <v>0</v>
      </c>
      <c r="AC175" s="68">
        <v>0</v>
      </c>
      <c r="AD175" s="68">
        <v>0</v>
      </c>
      <c r="AE175" s="68">
        <v>0</v>
      </c>
      <c r="AF175" s="68">
        <v>0</v>
      </c>
      <c r="AG175" s="68">
        <v>0</v>
      </c>
      <c r="AH175" s="68">
        <v>0</v>
      </c>
      <c r="AI175" s="68">
        <v>0</v>
      </c>
      <c r="AJ175" s="68">
        <v>0</v>
      </c>
      <c r="AK175" s="68">
        <v>0</v>
      </c>
      <c r="AL175" s="68">
        <v>0</v>
      </c>
      <c r="AM175" s="68">
        <v>0</v>
      </c>
      <c r="AN175" s="68">
        <v>1</v>
      </c>
      <c r="AO175" s="68">
        <v>0</v>
      </c>
      <c r="AP175" s="68">
        <v>0</v>
      </c>
      <c r="AQ175" s="68">
        <v>0</v>
      </c>
      <c r="AR175" s="68">
        <v>0</v>
      </c>
      <c r="AS175" s="68">
        <v>0</v>
      </c>
      <c r="AT175" s="68">
        <v>0</v>
      </c>
      <c r="AU175" s="68">
        <v>0</v>
      </c>
      <c r="AV175" s="68">
        <v>0</v>
      </c>
      <c r="AW175" s="68">
        <v>0</v>
      </c>
      <c r="AX175" s="68">
        <v>0</v>
      </c>
      <c r="AY175" s="68">
        <v>0</v>
      </c>
      <c r="AZ175" s="68">
        <v>0</v>
      </c>
      <c r="BA175" s="68">
        <v>0</v>
      </c>
      <c r="BB175" s="68">
        <v>0</v>
      </c>
      <c r="BC175" s="68">
        <v>0</v>
      </c>
      <c r="BD175" s="68">
        <v>0</v>
      </c>
      <c r="BE175" s="68">
        <v>0</v>
      </c>
      <c r="BF175" s="68">
        <v>0</v>
      </c>
      <c r="BG175" s="68">
        <v>0</v>
      </c>
      <c r="BH175" s="68">
        <v>0</v>
      </c>
      <c r="BI175" s="68">
        <v>0</v>
      </c>
      <c r="BJ175" s="68">
        <v>0</v>
      </c>
      <c r="BK175" s="68">
        <v>0</v>
      </c>
      <c r="BL175" s="68">
        <v>0</v>
      </c>
      <c r="BM175" s="68">
        <v>0</v>
      </c>
      <c r="BN175" s="68">
        <v>1</v>
      </c>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row>
    <row r="176" spans="1:127" x14ac:dyDescent="0.25">
      <c r="A176" s="74"/>
      <c r="B176" s="74"/>
      <c r="C176" s="66" t="s">
        <v>42</v>
      </c>
      <c r="D176" s="68">
        <v>0</v>
      </c>
      <c r="E176" s="68">
        <v>0</v>
      </c>
      <c r="F176" s="68">
        <v>0</v>
      </c>
      <c r="G176" s="68">
        <v>0</v>
      </c>
      <c r="H176" s="68">
        <v>0</v>
      </c>
      <c r="I176" s="68">
        <v>0</v>
      </c>
      <c r="J176" s="68">
        <v>0</v>
      </c>
      <c r="K176" s="68">
        <v>0</v>
      </c>
      <c r="L176" s="68">
        <v>0</v>
      </c>
      <c r="M176" s="68">
        <v>0</v>
      </c>
      <c r="N176" s="68">
        <v>0</v>
      </c>
      <c r="O176" s="68">
        <v>0</v>
      </c>
      <c r="P176" s="68">
        <v>0</v>
      </c>
      <c r="Q176" s="68">
        <v>0</v>
      </c>
      <c r="R176" s="68">
        <v>0</v>
      </c>
      <c r="S176" s="68">
        <v>0</v>
      </c>
      <c r="T176" s="68">
        <v>0</v>
      </c>
      <c r="U176" s="68">
        <v>0</v>
      </c>
      <c r="V176" s="68">
        <v>0</v>
      </c>
      <c r="W176" s="68">
        <v>0</v>
      </c>
      <c r="X176" s="68">
        <v>0</v>
      </c>
      <c r="Y176" s="68">
        <v>0</v>
      </c>
      <c r="Z176" s="68">
        <v>0</v>
      </c>
      <c r="AA176" s="68">
        <v>0</v>
      </c>
      <c r="AB176" s="68">
        <v>0</v>
      </c>
      <c r="AC176" s="68">
        <v>0</v>
      </c>
      <c r="AD176" s="68">
        <v>0</v>
      </c>
      <c r="AE176" s="68">
        <v>0</v>
      </c>
      <c r="AF176" s="68">
        <v>0</v>
      </c>
      <c r="AG176" s="68">
        <v>0</v>
      </c>
      <c r="AH176" s="68">
        <v>0</v>
      </c>
      <c r="AI176" s="68">
        <v>0</v>
      </c>
      <c r="AJ176" s="68">
        <v>0</v>
      </c>
      <c r="AK176" s="68">
        <v>0</v>
      </c>
      <c r="AL176" s="68">
        <v>0</v>
      </c>
      <c r="AM176" s="68">
        <v>0</v>
      </c>
      <c r="AN176" s="68">
        <v>0</v>
      </c>
      <c r="AO176" s="68">
        <v>1</v>
      </c>
      <c r="AP176" s="68">
        <v>0</v>
      </c>
      <c r="AQ176" s="68">
        <v>0</v>
      </c>
      <c r="AR176" s="68">
        <v>0</v>
      </c>
      <c r="AS176" s="68">
        <v>0</v>
      </c>
      <c r="AT176" s="68">
        <v>0</v>
      </c>
      <c r="AU176" s="68">
        <v>0</v>
      </c>
      <c r="AV176" s="68">
        <v>0</v>
      </c>
      <c r="AW176" s="68">
        <v>0</v>
      </c>
      <c r="AX176" s="68">
        <v>0</v>
      </c>
      <c r="AY176" s="68">
        <v>0</v>
      </c>
      <c r="AZ176" s="68">
        <v>0</v>
      </c>
      <c r="BA176" s="68">
        <v>0</v>
      </c>
      <c r="BB176" s="68">
        <v>0</v>
      </c>
      <c r="BC176" s="68">
        <v>0</v>
      </c>
      <c r="BD176" s="68">
        <v>0</v>
      </c>
      <c r="BE176" s="68">
        <v>0</v>
      </c>
      <c r="BF176" s="68">
        <v>0</v>
      </c>
      <c r="BG176" s="68">
        <v>0</v>
      </c>
      <c r="BH176" s="68">
        <v>0</v>
      </c>
      <c r="BI176" s="68">
        <v>0</v>
      </c>
      <c r="BJ176" s="68">
        <v>0</v>
      </c>
      <c r="BK176" s="68">
        <v>0</v>
      </c>
      <c r="BL176" s="68">
        <v>0</v>
      </c>
      <c r="BM176" s="68">
        <v>0</v>
      </c>
      <c r="BN176" s="68">
        <v>1</v>
      </c>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row>
    <row r="177" spans="1:127" x14ac:dyDescent="0.25">
      <c r="A177" s="74"/>
      <c r="B177" s="74"/>
      <c r="C177" s="66" t="s">
        <v>43</v>
      </c>
      <c r="D177" s="68">
        <v>0</v>
      </c>
      <c r="E177" s="68">
        <v>0</v>
      </c>
      <c r="F177" s="68">
        <v>0</v>
      </c>
      <c r="G177" s="68">
        <v>0</v>
      </c>
      <c r="H177" s="68">
        <v>0</v>
      </c>
      <c r="I177" s="68">
        <v>0</v>
      </c>
      <c r="J177" s="68">
        <v>0</v>
      </c>
      <c r="K177" s="68">
        <v>0</v>
      </c>
      <c r="L177" s="68">
        <v>0</v>
      </c>
      <c r="M177" s="68">
        <v>0</v>
      </c>
      <c r="N177" s="68">
        <v>0</v>
      </c>
      <c r="O177" s="68">
        <v>0</v>
      </c>
      <c r="P177" s="68">
        <v>0</v>
      </c>
      <c r="Q177" s="68">
        <v>0</v>
      </c>
      <c r="R177" s="68">
        <v>0</v>
      </c>
      <c r="S177" s="68">
        <v>0</v>
      </c>
      <c r="T177" s="68">
        <v>0</v>
      </c>
      <c r="U177" s="68">
        <v>0</v>
      </c>
      <c r="V177" s="68">
        <v>0</v>
      </c>
      <c r="W177" s="68">
        <v>0</v>
      </c>
      <c r="X177" s="68">
        <v>0</v>
      </c>
      <c r="Y177" s="68">
        <v>0</v>
      </c>
      <c r="Z177" s="68">
        <v>0</v>
      </c>
      <c r="AA177" s="68">
        <v>0</v>
      </c>
      <c r="AB177" s="68">
        <v>0</v>
      </c>
      <c r="AC177" s="68">
        <v>0</v>
      </c>
      <c r="AD177" s="68">
        <v>0</v>
      </c>
      <c r="AE177" s="68">
        <v>0</v>
      </c>
      <c r="AF177" s="68">
        <v>0</v>
      </c>
      <c r="AG177" s="68">
        <v>0</v>
      </c>
      <c r="AH177" s="68">
        <v>0</v>
      </c>
      <c r="AI177" s="68">
        <v>0</v>
      </c>
      <c r="AJ177" s="68">
        <v>0</v>
      </c>
      <c r="AK177" s="68">
        <v>0</v>
      </c>
      <c r="AL177" s="68">
        <v>0</v>
      </c>
      <c r="AM177" s="68">
        <v>0</v>
      </c>
      <c r="AN177" s="68">
        <v>0</v>
      </c>
      <c r="AO177" s="68">
        <v>0</v>
      </c>
      <c r="AP177" s="68">
        <v>1</v>
      </c>
      <c r="AQ177" s="68">
        <v>0</v>
      </c>
      <c r="AR177" s="68">
        <v>0</v>
      </c>
      <c r="AS177" s="68">
        <v>0</v>
      </c>
      <c r="AT177" s="68">
        <v>0</v>
      </c>
      <c r="AU177" s="68">
        <v>0</v>
      </c>
      <c r="AV177" s="68">
        <v>0</v>
      </c>
      <c r="AW177" s="68">
        <v>0</v>
      </c>
      <c r="AX177" s="68">
        <v>0</v>
      </c>
      <c r="AY177" s="68">
        <v>0</v>
      </c>
      <c r="AZ177" s="68">
        <v>0</v>
      </c>
      <c r="BA177" s="68">
        <v>0</v>
      </c>
      <c r="BB177" s="68">
        <v>0</v>
      </c>
      <c r="BC177" s="68">
        <v>0</v>
      </c>
      <c r="BD177" s="68">
        <v>0</v>
      </c>
      <c r="BE177" s="68">
        <v>0</v>
      </c>
      <c r="BF177" s="68">
        <v>0</v>
      </c>
      <c r="BG177" s="68">
        <v>0</v>
      </c>
      <c r="BH177" s="68">
        <v>0</v>
      </c>
      <c r="BI177" s="68">
        <v>0</v>
      </c>
      <c r="BJ177" s="68">
        <v>0</v>
      </c>
      <c r="BK177" s="68">
        <v>0</v>
      </c>
      <c r="BL177" s="68">
        <v>0</v>
      </c>
      <c r="BM177" s="68">
        <v>0</v>
      </c>
      <c r="BN177" s="68">
        <v>1</v>
      </c>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row>
    <row r="178" spans="1:127" x14ac:dyDescent="0.25">
      <c r="A178" s="74"/>
      <c r="B178" s="74"/>
      <c r="C178" s="66" t="s">
        <v>44</v>
      </c>
      <c r="D178" s="68">
        <v>0</v>
      </c>
      <c r="E178" s="68">
        <v>0</v>
      </c>
      <c r="F178" s="68">
        <v>0</v>
      </c>
      <c r="G178" s="68">
        <v>0</v>
      </c>
      <c r="H178" s="68">
        <v>0</v>
      </c>
      <c r="I178" s="68">
        <v>0</v>
      </c>
      <c r="J178" s="68">
        <v>0</v>
      </c>
      <c r="K178" s="68">
        <v>0</v>
      </c>
      <c r="L178" s="68">
        <v>0</v>
      </c>
      <c r="M178" s="68">
        <v>0</v>
      </c>
      <c r="N178" s="68">
        <v>0</v>
      </c>
      <c r="O178" s="68">
        <v>0</v>
      </c>
      <c r="P178" s="68">
        <v>0</v>
      </c>
      <c r="Q178" s="68">
        <v>0</v>
      </c>
      <c r="R178" s="68">
        <v>0</v>
      </c>
      <c r="S178" s="68">
        <v>0</v>
      </c>
      <c r="T178" s="68">
        <v>0</v>
      </c>
      <c r="U178" s="68">
        <v>0</v>
      </c>
      <c r="V178" s="68">
        <v>0</v>
      </c>
      <c r="W178" s="68">
        <v>0</v>
      </c>
      <c r="X178" s="68">
        <v>0</v>
      </c>
      <c r="Y178" s="68">
        <v>0</v>
      </c>
      <c r="Z178" s="68">
        <v>0</v>
      </c>
      <c r="AA178" s="68">
        <v>0</v>
      </c>
      <c r="AB178" s="68">
        <v>0</v>
      </c>
      <c r="AC178" s="68">
        <v>0</v>
      </c>
      <c r="AD178" s="68">
        <v>0</v>
      </c>
      <c r="AE178" s="68">
        <v>0</v>
      </c>
      <c r="AF178" s="68">
        <v>0</v>
      </c>
      <c r="AG178" s="68">
        <v>0</v>
      </c>
      <c r="AH178" s="68">
        <v>0</v>
      </c>
      <c r="AI178" s="68">
        <v>0</v>
      </c>
      <c r="AJ178" s="68">
        <v>0</v>
      </c>
      <c r="AK178" s="68">
        <v>0</v>
      </c>
      <c r="AL178" s="68">
        <v>0</v>
      </c>
      <c r="AM178" s="68">
        <v>0</v>
      </c>
      <c r="AN178" s="68">
        <v>0</v>
      </c>
      <c r="AO178" s="68">
        <v>0</v>
      </c>
      <c r="AP178" s="68">
        <v>0</v>
      </c>
      <c r="AQ178" s="68">
        <v>1</v>
      </c>
      <c r="AR178" s="68">
        <v>0</v>
      </c>
      <c r="AS178" s="68">
        <v>0</v>
      </c>
      <c r="AT178" s="68">
        <v>0</v>
      </c>
      <c r="AU178" s="68">
        <v>0</v>
      </c>
      <c r="AV178" s="68">
        <v>0</v>
      </c>
      <c r="AW178" s="68">
        <v>0</v>
      </c>
      <c r="AX178" s="68">
        <v>0</v>
      </c>
      <c r="AY178" s="68">
        <v>0</v>
      </c>
      <c r="AZ178" s="68">
        <v>0</v>
      </c>
      <c r="BA178" s="68">
        <v>0</v>
      </c>
      <c r="BB178" s="68">
        <v>0</v>
      </c>
      <c r="BC178" s="68">
        <v>0</v>
      </c>
      <c r="BD178" s="68">
        <v>0</v>
      </c>
      <c r="BE178" s="68">
        <v>0</v>
      </c>
      <c r="BF178" s="68">
        <v>0</v>
      </c>
      <c r="BG178" s="68">
        <v>0</v>
      </c>
      <c r="BH178" s="68">
        <v>0</v>
      </c>
      <c r="BI178" s="68">
        <v>0</v>
      </c>
      <c r="BJ178" s="68">
        <v>0</v>
      </c>
      <c r="BK178" s="68">
        <v>0</v>
      </c>
      <c r="BL178" s="68">
        <v>0</v>
      </c>
      <c r="BM178" s="68">
        <v>0</v>
      </c>
      <c r="BN178" s="68">
        <v>1</v>
      </c>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row>
    <row r="179" spans="1:127" x14ac:dyDescent="0.25">
      <c r="A179" s="74"/>
      <c r="B179" s="74"/>
      <c r="C179" s="66" t="s">
        <v>45</v>
      </c>
      <c r="D179" s="68">
        <v>0</v>
      </c>
      <c r="E179" s="68">
        <v>0</v>
      </c>
      <c r="F179" s="68">
        <v>0</v>
      </c>
      <c r="G179" s="68">
        <v>0</v>
      </c>
      <c r="H179" s="68">
        <v>0</v>
      </c>
      <c r="I179" s="68">
        <v>0</v>
      </c>
      <c r="J179" s="68">
        <v>0</v>
      </c>
      <c r="K179" s="68">
        <v>0</v>
      </c>
      <c r="L179" s="68">
        <v>0</v>
      </c>
      <c r="M179" s="68">
        <v>0</v>
      </c>
      <c r="N179" s="68">
        <v>0</v>
      </c>
      <c r="O179" s="68">
        <v>0</v>
      </c>
      <c r="P179" s="68">
        <v>0</v>
      </c>
      <c r="Q179" s="68">
        <v>0</v>
      </c>
      <c r="R179" s="68">
        <v>0</v>
      </c>
      <c r="S179" s="68">
        <v>0</v>
      </c>
      <c r="T179" s="68">
        <v>0</v>
      </c>
      <c r="U179" s="68">
        <v>0</v>
      </c>
      <c r="V179" s="68">
        <v>0</v>
      </c>
      <c r="W179" s="68">
        <v>0</v>
      </c>
      <c r="X179" s="68">
        <v>0</v>
      </c>
      <c r="Y179" s="68">
        <v>0</v>
      </c>
      <c r="Z179" s="68">
        <v>0</v>
      </c>
      <c r="AA179" s="68">
        <v>0</v>
      </c>
      <c r="AB179" s="68">
        <v>0</v>
      </c>
      <c r="AC179" s="68">
        <v>0</v>
      </c>
      <c r="AD179" s="68">
        <v>0</v>
      </c>
      <c r="AE179" s="68">
        <v>0</v>
      </c>
      <c r="AF179" s="68">
        <v>0</v>
      </c>
      <c r="AG179" s="68">
        <v>0</v>
      </c>
      <c r="AH179" s="68">
        <v>0</v>
      </c>
      <c r="AI179" s="68">
        <v>0</v>
      </c>
      <c r="AJ179" s="68">
        <v>0</v>
      </c>
      <c r="AK179" s="68">
        <v>0</v>
      </c>
      <c r="AL179" s="68">
        <v>0</v>
      </c>
      <c r="AM179" s="68">
        <v>0</v>
      </c>
      <c r="AN179" s="68">
        <v>0</v>
      </c>
      <c r="AO179" s="68">
        <v>0</v>
      </c>
      <c r="AP179" s="68">
        <v>0</v>
      </c>
      <c r="AQ179" s="68">
        <v>0</v>
      </c>
      <c r="AR179" s="68">
        <v>1</v>
      </c>
      <c r="AS179" s="68">
        <v>0</v>
      </c>
      <c r="AT179" s="68">
        <v>0</v>
      </c>
      <c r="AU179" s="68">
        <v>0</v>
      </c>
      <c r="AV179" s="68">
        <v>0</v>
      </c>
      <c r="AW179" s="68">
        <v>0</v>
      </c>
      <c r="AX179" s="68">
        <v>0</v>
      </c>
      <c r="AY179" s="68">
        <v>0</v>
      </c>
      <c r="AZ179" s="68">
        <v>0</v>
      </c>
      <c r="BA179" s="68">
        <v>0</v>
      </c>
      <c r="BB179" s="68">
        <v>0</v>
      </c>
      <c r="BC179" s="68">
        <v>0</v>
      </c>
      <c r="BD179" s="68">
        <v>0</v>
      </c>
      <c r="BE179" s="68">
        <v>0</v>
      </c>
      <c r="BF179" s="68">
        <v>0</v>
      </c>
      <c r="BG179" s="68">
        <v>0</v>
      </c>
      <c r="BH179" s="68">
        <v>0</v>
      </c>
      <c r="BI179" s="68">
        <v>0</v>
      </c>
      <c r="BJ179" s="68">
        <v>0</v>
      </c>
      <c r="BK179" s="68">
        <v>0</v>
      </c>
      <c r="BL179" s="68">
        <v>0</v>
      </c>
      <c r="BM179" s="68">
        <v>0</v>
      </c>
      <c r="BN179" s="68">
        <v>1</v>
      </c>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row>
    <row r="180" spans="1:127" x14ac:dyDescent="0.25">
      <c r="A180" s="74"/>
      <c r="B180" s="75" t="s">
        <v>211</v>
      </c>
      <c r="C180" s="74"/>
      <c r="D180" s="68">
        <v>0</v>
      </c>
      <c r="E180" s="68">
        <v>0</v>
      </c>
      <c r="F180" s="68">
        <v>0</v>
      </c>
      <c r="G180" s="68">
        <v>0</v>
      </c>
      <c r="H180" s="68">
        <v>0</v>
      </c>
      <c r="I180" s="68">
        <v>0</v>
      </c>
      <c r="J180" s="68">
        <v>0</v>
      </c>
      <c r="K180" s="68">
        <v>0</v>
      </c>
      <c r="L180" s="68">
        <v>0</v>
      </c>
      <c r="M180" s="68">
        <v>0</v>
      </c>
      <c r="N180" s="68">
        <v>0</v>
      </c>
      <c r="O180" s="68">
        <v>0</v>
      </c>
      <c r="P180" s="68">
        <v>0</v>
      </c>
      <c r="Q180" s="68">
        <v>0</v>
      </c>
      <c r="R180" s="68">
        <v>0</v>
      </c>
      <c r="S180" s="68">
        <v>0</v>
      </c>
      <c r="T180" s="68">
        <v>0</v>
      </c>
      <c r="U180" s="68">
        <v>0</v>
      </c>
      <c r="V180" s="68">
        <v>0</v>
      </c>
      <c r="W180" s="68">
        <v>0</v>
      </c>
      <c r="X180" s="68">
        <v>0</v>
      </c>
      <c r="Y180" s="68">
        <v>0</v>
      </c>
      <c r="Z180" s="68">
        <v>0</v>
      </c>
      <c r="AA180" s="68">
        <v>0</v>
      </c>
      <c r="AB180" s="68">
        <v>0</v>
      </c>
      <c r="AC180" s="68">
        <v>0</v>
      </c>
      <c r="AD180" s="68">
        <v>0</v>
      </c>
      <c r="AE180" s="68">
        <v>1</v>
      </c>
      <c r="AF180" s="68">
        <v>0</v>
      </c>
      <c r="AG180" s="68">
        <v>1</v>
      </c>
      <c r="AH180" s="68">
        <v>1</v>
      </c>
      <c r="AI180" s="68">
        <v>1</v>
      </c>
      <c r="AJ180" s="68">
        <v>1</v>
      </c>
      <c r="AK180" s="68">
        <v>1</v>
      </c>
      <c r="AL180" s="68">
        <v>1</v>
      </c>
      <c r="AM180" s="68">
        <v>0</v>
      </c>
      <c r="AN180" s="68">
        <v>1</v>
      </c>
      <c r="AO180" s="68">
        <v>1</v>
      </c>
      <c r="AP180" s="68">
        <v>1</v>
      </c>
      <c r="AQ180" s="68">
        <v>1</v>
      </c>
      <c r="AR180" s="68">
        <v>1</v>
      </c>
      <c r="AS180" s="68">
        <v>0</v>
      </c>
      <c r="AT180" s="68">
        <v>0</v>
      </c>
      <c r="AU180" s="68">
        <v>0</v>
      </c>
      <c r="AV180" s="68">
        <v>0</v>
      </c>
      <c r="AW180" s="68">
        <v>0</v>
      </c>
      <c r="AX180" s="68">
        <v>0</v>
      </c>
      <c r="AY180" s="68">
        <v>0</v>
      </c>
      <c r="AZ180" s="68">
        <v>0</v>
      </c>
      <c r="BA180" s="68">
        <v>0</v>
      </c>
      <c r="BB180" s="68">
        <v>0</v>
      </c>
      <c r="BC180" s="68">
        <v>0</v>
      </c>
      <c r="BD180" s="68">
        <v>0</v>
      </c>
      <c r="BE180" s="68">
        <v>0</v>
      </c>
      <c r="BF180" s="68">
        <v>0</v>
      </c>
      <c r="BG180" s="68">
        <v>0</v>
      </c>
      <c r="BH180" s="68">
        <v>0</v>
      </c>
      <c r="BI180" s="68">
        <v>0</v>
      </c>
      <c r="BJ180" s="68">
        <v>0</v>
      </c>
      <c r="BK180" s="68">
        <v>0</v>
      </c>
      <c r="BL180" s="68">
        <v>0</v>
      </c>
      <c r="BM180" s="68">
        <v>0</v>
      </c>
      <c r="BN180" s="68">
        <v>12</v>
      </c>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row>
    <row r="181" spans="1:127" x14ac:dyDescent="0.25">
      <c r="A181" s="75" t="s">
        <v>216</v>
      </c>
      <c r="B181" s="74"/>
      <c r="C181" s="74"/>
      <c r="D181" s="68">
        <v>0</v>
      </c>
      <c r="E181" s="68">
        <v>0</v>
      </c>
      <c r="F181" s="68">
        <v>0</v>
      </c>
      <c r="G181" s="68">
        <v>0</v>
      </c>
      <c r="H181" s="68">
        <v>0</v>
      </c>
      <c r="I181" s="68">
        <v>0</v>
      </c>
      <c r="J181" s="68">
        <v>0</v>
      </c>
      <c r="K181" s="68">
        <v>0</v>
      </c>
      <c r="L181" s="68">
        <v>0</v>
      </c>
      <c r="M181" s="68">
        <v>0</v>
      </c>
      <c r="N181" s="68">
        <v>0</v>
      </c>
      <c r="O181" s="68">
        <v>0</v>
      </c>
      <c r="P181" s="68">
        <v>0</v>
      </c>
      <c r="Q181" s="68">
        <v>0</v>
      </c>
      <c r="R181" s="68">
        <v>0</v>
      </c>
      <c r="S181" s="68">
        <v>0</v>
      </c>
      <c r="T181" s="68">
        <v>0</v>
      </c>
      <c r="U181" s="68">
        <v>0</v>
      </c>
      <c r="V181" s="68">
        <v>0</v>
      </c>
      <c r="W181" s="68">
        <v>0</v>
      </c>
      <c r="X181" s="68">
        <v>0</v>
      </c>
      <c r="Y181" s="68">
        <v>0</v>
      </c>
      <c r="Z181" s="68">
        <v>0</v>
      </c>
      <c r="AA181" s="68">
        <v>0</v>
      </c>
      <c r="AB181" s="68">
        <v>0</v>
      </c>
      <c r="AC181" s="68">
        <v>0</v>
      </c>
      <c r="AD181" s="68">
        <v>0</v>
      </c>
      <c r="AE181" s="68">
        <v>1</v>
      </c>
      <c r="AF181" s="68">
        <v>0</v>
      </c>
      <c r="AG181" s="68">
        <v>1</v>
      </c>
      <c r="AH181" s="68">
        <v>1</v>
      </c>
      <c r="AI181" s="68">
        <v>1</v>
      </c>
      <c r="AJ181" s="68">
        <v>1</v>
      </c>
      <c r="AK181" s="68">
        <v>1</v>
      </c>
      <c r="AL181" s="68">
        <v>1</v>
      </c>
      <c r="AM181" s="68">
        <v>0</v>
      </c>
      <c r="AN181" s="68">
        <v>1</v>
      </c>
      <c r="AO181" s="68">
        <v>1</v>
      </c>
      <c r="AP181" s="68">
        <v>1</v>
      </c>
      <c r="AQ181" s="68">
        <v>1</v>
      </c>
      <c r="AR181" s="68">
        <v>1</v>
      </c>
      <c r="AS181" s="68">
        <v>0</v>
      </c>
      <c r="AT181" s="68">
        <v>0</v>
      </c>
      <c r="AU181" s="68">
        <v>0</v>
      </c>
      <c r="AV181" s="68">
        <v>0</v>
      </c>
      <c r="AW181" s="68">
        <v>0</v>
      </c>
      <c r="AX181" s="68">
        <v>0</v>
      </c>
      <c r="AY181" s="68">
        <v>0</v>
      </c>
      <c r="AZ181" s="68">
        <v>0</v>
      </c>
      <c r="BA181" s="68">
        <v>0</v>
      </c>
      <c r="BB181" s="68">
        <v>0</v>
      </c>
      <c r="BC181" s="68">
        <v>0</v>
      </c>
      <c r="BD181" s="68">
        <v>0</v>
      </c>
      <c r="BE181" s="68">
        <v>0</v>
      </c>
      <c r="BF181" s="68">
        <v>0</v>
      </c>
      <c r="BG181" s="68">
        <v>0</v>
      </c>
      <c r="BH181" s="68">
        <v>0</v>
      </c>
      <c r="BI181" s="68">
        <v>0</v>
      </c>
      <c r="BJ181" s="68">
        <v>0</v>
      </c>
      <c r="BK181" s="68">
        <v>0</v>
      </c>
      <c r="BL181" s="68">
        <v>0</v>
      </c>
      <c r="BM181" s="68">
        <v>0</v>
      </c>
      <c r="BN181" s="68">
        <v>12</v>
      </c>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row>
    <row r="182" spans="1:127" x14ac:dyDescent="0.25">
      <c r="A182" s="75" t="s">
        <v>47</v>
      </c>
      <c r="B182" s="75" t="s">
        <v>46</v>
      </c>
      <c r="C182" s="66" t="s">
        <v>49</v>
      </c>
      <c r="D182" s="68">
        <v>0</v>
      </c>
      <c r="E182" s="68">
        <v>0</v>
      </c>
      <c r="F182" s="68">
        <v>0</v>
      </c>
      <c r="G182" s="68">
        <v>0</v>
      </c>
      <c r="H182" s="68">
        <v>0</v>
      </c>
      <c r="I182" s="68">
        <v>0</v>
      </c>
      <c r="J182" s="68">
        <v>0</v>
      </c>
      <c r="K182" s="68">
        <v>0</v>
      </c>
      <c r="L182" s="68">
        <v>0</v>
      </c>
      <c r="M182" s="68">
        <v>0</v>
      </c>
      <c r="N182" s="68">
        <v>0</v>
      </c>
      <c r="O182" s="68">
        <v>0</v>
      </c>
      <c r="P182" s="68">
        <v>0</v>
      </c>
      <c r="Q182" s="68">
        <v>0</v>
      </c>
      <c r="R182" s="68">
        <v>0</v>
      </c>
      <c r="S182" s="68">
        <v>0</v>
      </c>
      <c r="T182" s="68">
        <v>0</v>
      </c>
      <c r="U182" s="68">
        <v>0</v>
      </c>
      <c r="V182" s="68">
        <v>0</v>
      </c>
      <c r="W182" s="68">
        <v>0</v>
      </c>
      <c r="X182" s="68">
        <v>0</v>
      </c>
      <c r="Y182" s="68">
        <v>0</v>
      </c>
      <c r="Z182" s="68">
        <v>0</v>
      </c>
      <c r="AA182" s="68">
        <v>0</v>
      </c>
      <c r="AB182" s="68">
        <v>0</v>
      </c>
      <c r="AC182" s="68">
        <v>0</v>
      </c>
      <c r="AD182" s="68">
        <v>1</v>
      </c>
      <c r="AE182" s="68">
        <v>0</v>
      </c>
      <c r="AF182" s="68">
        <v>0</v>
      </c>
      <c r="AG182" s="68">
        <v>0</v>
      </c>
      <c r="AH182" s="68">
        <v>0</v>
      </c>
      <c r="AI182" s="68">
        <v>0</v>
      </c>
      <c r="AJ182" s="68">
        <v>0</v>
      </c>
      <c r="AK182" s="68">
        <v>0</v>
      </c>
      <c r="AL182" s="68">
        <v>0</v>
      </c>
      <c r="AM182" s="68">
        <v>0</v>
      </c>
      <c r="AN182" s="68">
        <v>0</v>
      </c>
      <c r="AO182" s="68">
        <v>0</v>
      </c>
      <c r="AP182" s="68">
        <v>0</v>
      </c>
      <c r="AQ182" s="68">
        <v>0</v>
      </c>
      <c r="AR182" s="68">
        <v>0</v>
      </c>
      <c r="AS182" s="68">
        <v>0</v>
      </c>
      <c r="AT182" s="68">
        <v>0</v>
      </c>
      <c r="AU182" s="68">
        <v>0</v>
      </c>
      <c r="AV182" s="68">
        <v>0</v>
      </c>
      <c r="AW182" s="68">
        <v>0</v>
      </c>
      <c r="AX182" s="68">
        <v>0</v>
      </c>
      <c r="AY182" s="68">
        <v>0</v>
      </c>
      <c r="AZ182" s="68">
        <v>0</v>
      </c>
      <c r="BA182" s="68">
        <v>0</v>
      </c>
      <c r="BB182" s="68">
        <v>0</v>
      </c>
      <c r="BC182" s="68">
        <v>0</v>
      </c>
      <c r="BD182" s="68">
        <v>0</v>
      </c>
      <c r="BE182" s="68">
        <v>0</v>
      </c>
      <c r="BF182" s="68">
        <v>0</v>
      </c>
      <c r="BG182" s="68">
        <v>0</v>
      </c>
      <c r="BH182" s="68">
        <v>0</v>
      </c>
      <c r="BI182" s="68">
        <v>0</v>
      </c>
      <c r="BJ182" s="68">
        <v>0</v>
      </c>
      <c r="BK182" s="68">
        <v>0</v>
      </c>
      <c r="BL182" s="68">
        <v>0</v>
      </c>
      <c r="BM182" s="68">
        <v>0</v>
      </c>
      <c r="BN182" s="68">
        <v>1</v>
      </c>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row>
    <row r="183" spans="1:127" x14ac:dyDescent="0.25">
      <c r="A183" s="74"/>
      <c r="B183" s="74"/>
      <c r="C183" s="66" t="s">
        <v>50</v>
      </c>
      <c r="D183" s="68">
        <v>0</v>
      </c>
      <c r="E183" s="68">
        <v>0</v>
      </c>
      <c r="F183" s="68">
        <v>0</v>
      </c>
      <c r="G183" s="68">
        <v>0</v>
      </c>
      <c r="H183" s="68">
        <v>0</v>
      </c>
      <c r="I183" s="68">
        <v>0</v>
      </c>
      <c r="J183" s="68">
        <v>0</v>
      </c>
      <c r="K183" s="68">
        <v>0</v>
      </c>
      <c r="L183" s="68">
        <v>0</v>
      </c>
      <c r="M183" s="68">
        <v>0</v>
      </c>
      <c r="N183" s="68">
        <v>0</v>
      </c>
      <c r="O183" s="68">
        <v>0</v>
      </c>
      <c r="P183" s="68">
        <v>0</v>
      </c>
      <c r="Q183" s="68">
        <v>0</v>
      </c>
      <c r="R183" s="68">
        <v>0</v>
      </c>
      <c r="S183" s="68">
        <v>0</v>
      </c>
      <c r="T183" s="68">
        <v>0</v>
      </c>
      <c r="U183" s="68">
        <v>0</v>
      </c>
      <c r="V183" s="68">
        <v>0</v>
      </c>
      <c r="W183" s="68">
        <v>0</v>
      </c>
      <c r="X183" s="68">
        <v>0</v>
      </c>
      <c r="Y183" s="68">
        <v>0</v>
      </c>
      <c r="Z183" s="68">
        <v>0</v>
      </c>
      <c r="AA183" s="68">
        <v>0</v>
      </c>
      <c r="AB183" s="68">
        <v>0</v>
      </c>
      <c r="AC183" s="68">
        <v>0</v>
      </c>
      <c r="AD183" s="68">
        <v>0</v>
      </c>
      <c r="AE183" s="68">
        <v>0</v>
      </c>
      <c r="AF183" s="68">
        <v>1</v>
      </c>
      <c r="AG183" s="68">
        <v>0</v>
      </c>
      <c r="AH183" s="68">
        <v>0</v>
      </c>
      <c r="AI183" s="68">
        <v>0</v>
      </c>
      <c r="AJ183" s="68">
        <v>0</v>
      </c>
      <c r="AK183" s="68">
        <v>0</v>
      </c>
      <c r="AL183" s="68">
        <v>0</v>
      </c>
      <c r="AM183" s="68">
        <v>0</v>
      </c>
      <c r="AN183" s="68">
        <v>0</v>
      </c>
      <c r="AO183" s="68">
        <v>0</v>
      </c>
      <c r="AP183" s="68">
        <v>0</v>
      </c>
      <c r="AQ183" s="68">
        <v>0</v>
      </c>
      <c r="AR183" s="68">
        <v>0</v>
      </c>
      <c r="AS183" s="68">
        <v>0</v>
      </c>
      <c r="AT183" s="68">
        <v>0</v>
      </c>
      <c r="AU183" s="68">
        <v>0</v>
      </c>
      <c r="AV183" s="68">
        <v>0</v>
      </c>
      <c r="AW183" s="68">
        <v>0</v>
      </c>
      <c r="AX183" s="68">
        <v>0</v>
      </c>
      <c r="AY183" s="68">
        <v>0</v>
      </c>
      <c r="AZ183" s="68">
        <v>0</v>
      </c>
      <c r="BA183" s="68">
        <v>0</v>
      </c>
      <c r="BB183" s="68">
        <v>0</v>
      </c>
      <c r="BC183" s="68">
        <v>0</v>
      </c>
      <c r="BD183" s="68">
        <v>0</v>
      </c>
      <c r="BE183" s="68">
        <v>0</v>
      </c>
      <c r="BF183" s="68">
        <v>0</v>
      </c>
      <c r="BG183" s="68">
        <v>0</v>
      </c>
      <c r="BH183" s="68">
        <v>0</v>
      </c>
      <c r="BI183" s="68">
        <v>0</v>
      </c>
      <c r="BJ183" s="68">
        <v>0</v>
      </c>
      <c r="BK183" s="68">
        <v>0</v>
      </c>
      <c r="BL183" s="68">
        <v>0</v>
      </c>
      <c r="BM183" s="68">
        <v>0</v>
      </c>
      <c r="BN183" s="68">
        <v>1</v>
      </c>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row>
    <row r="184" spans="1:127" x14ac:dyDescent="0.25">
      <c r="A184" s="74"/>
      <c r="B184" s="74"/>
      <c r="C184" s="66" t="s">
        <v>51</v>
      </c>
      <c r="D184" s="68">
        <v>0</v>
      </c>
      <c r="E184" s="68">
        <v>0</v>
      </c>
      <c r="F184" s="68">
        <v>0</v>
      </c>
      <c r="G184" s="68">
        <v>0</v>
      </c>
      <c r="H184" s="68">
        <v>0</v>
      </c>
      <c r="I184" s="68">
        <v>0</v>
      </c>
      <c r="J184" s="68">
        <v>0</v>
      </c>
      <c r="K184" s="68">
        <v>0</v>
      </c>
      <c r="L184" s="68">
        <v>0</v>
      </c>
      <c r="M184" s="68">
        <v>0</v>
      </c>
      <c r="N184" s="68">
        <v>0</v>
      </c>
      <c r="O184" s="68">
        <v>0</v>
      </c>
      <c r="P184" s="68">
        <v>0</v>
      </c>
      <c r="Q184" s="68">
        <v>0</v>
      </c>
      <c r="R184" s="68">
        <v>0</v>
      </c>
      <c r="S184" s="68">
        <v>0</v>
      </c>
      <c r="T184" s="68">
        <v>0</v>
      </c>
      <c r="U184" s="68">
        <v>0</v>
      </c>
      <c r="V184" s="68">
        <v>0</v>
      </c>
      <c r="W184" s="68">
        <v>0</v>
      </c>
      <c r="X184" s="68">
        <v>0</v>
      </c>
      <c r="Y184" s="68">
        <v>0</v>
      </c>
      <c r="Z184" s="68">
        <v>1</v>
      </c>
      <c r="AA184" s="68">
        <v>0</v>
      </c>
      <c r="AB184" s="68">
        <v>0</v>
      </c>
      <c r="AC184" s="68">
        <v>0</v>
      </c>
      <c r="AD184" s="68">
        <v>0</v>
      </c>
      <c r="AE184" s="68">
        <v>0</v>
      </c>
      <c r="AF184" s="68">
        <v>0</v>
      </c>
      <c r="AG184" s="68">
        <v>0</v>
      </c>
      <c r="AH184" s="68">
        <v>0</v>
      </c>
      <c r="AI184" s="68">
        <v>0</v>
      </c>
      <c r="AJ184" s="68">
        <v>0</v>
      </c>
      <c r="AK184" s="68">
        <v>0</v>
      </c>
      <c r="AL184" s="68">
        <v>0</v>
      </c>
      <c r="AM184" s="68">
        <v>0</v>
      </c>
      <c r="AN184" s="68">
        <v>0</v>
      </c>
      <c r="AO184" s="68">
        <v>0</v>
      </c>
      <c r="AP184" s="68">
        <v>0</v>
      </c>
      <c r="AQ184" s="68">
        <v>0</v>
      </c>
      <c r="AR184" s="68">
        <v>0</v>
      </c>
      <c r="AS184" s="68">
        <v>0</v>
      </c>
      <c r="AT184" s="68">
        <v>0</v>
      </c>
      <c r="AU184" s="68">
        <v>0</v>
      </c>
      <c r="AV184" s="68">
        <v>0</v>
      </c>
      <c r="AW184" s="68">
        <v>0</v>
      </c>
      <c r="AX184" s="68">
        <v>0</v>
      </c>
      <c r="AY184" s="68">
        <v>0</v>
      </c>
      <c r="AZ184" s="68">
        <v>0</v>
      </c>
      <c r="BA184" s="68">
        <v>0</v>
      </c>
      <c r="BB184" s="68">
        <v>0</v>
      </c>
      <c r="BC184" s="68">
        <v>0</v>
      </c>
      <c r="BD184" s="68">
        <v>0</v>
      </c>
      <c r="BE184" s="68">
        <v>0</v>
      </c>
      <c r="BF184" s="68">
        <v>0</v>
      </c>
      <c r="BG184" s="68">
        <v>0</v>
      </c>
      <c r="BH184" s="68">
        <v>0</v>
      </c>
      <c r="BI184" s="68">
        <v>0</v>
      </c>
      <c r="BJ184" s="68">
        <v>0</v>
      </c>
      <c r="BK184" s="68">
        <v>0</v>
      </c>
      <c r="BL184" s="68">
        <v>0</v>
      </c>
      <c r="BM184" s="68">
        <v>0</v>
      </c>
      <c r="BN184" s="68">
        <v>1</v>
      </c>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row>
    <row r="185" spans="1:127" x14ac:dyDescent="0.25">
      <c r="A185" s="74"/>
      <c r="B185" s="74"/>
      <c r="C185" s="66" t="s">
        <v>52</v>
      </c>
      <c r="D185" s="68">
        <v>0</v>
      </c>
      <c r="E185" s="68">
        <v>0</v>
      </c>
      <c r="F185" s="68">
        <v>0</v>
      </c>
      <c r="G185" s="68">
        <v>0</v>
      </c>
      <c r="H185" s="68">
        <v>0</v>
      </c>
      <c r="I185" s="68">
        <v>0</v>
      </c>
      <c r="J185" s="68">
        <v>0</v>
      </c>
      <c r="K185" s="68">
        <v>0</v>
      </c>
      <c r="L185" s="68">
        <v>0</v>
      </c>
      <c r="M185" s="68">
        <v>0</v>
      </c>
      <c r="N185" s="68">
        <v>0</v>
      </c>
      <c r="O185" s="68">
        <v>0</v>
      </c>
      <c r="P185" s="68">
        <v>0</v>
      </c>
      <c r="Q185" s="68">
        <v>0</v>
      </c>
      <c r="R185" s="68">
        <v>0</v>
      </c>
      <c r="S185" s="68">
        <v>0</v>
      </c>
      <c r="T185" s="68">
        <v>0</v>
      </c>
      <c r="U185" s="68">
        <v>0</v>
      </c>
      <c r="V185" s="68">
        <v>0</v>
      </c>
      <c r="W185" s="68">
        <v>0</v>
      </c>
      <c r="X185" s="68">
        <v>0</v>
      </c>
      <c r="Y185" s="68">
        <v>0</v>
      </c>
      <c r="Z185" s="68">
        <v>0</v>
      </c>
      <c r="AA185" s="68">
        <v>1</v>
      </c>
      <c r="AB185" s="68">
        <v>0</v>
      </c>
      <c r="AC185" s="68">
        <v>0</v>
      </c>
      <c r="AD185" s="68">
        <v>0</v>
      </c>
      <c r="AE185" s="68">
        <v>0</v>
      </c>
      <c r="AF185" s="68">
        <v>0</v>
      </c>
      <c r="AG185" s="68">
        <v>0</v>
      </c>
      <c r="AH185" s="68">
        <v>0</v>
      </c>
      <c r="AI185" s="68">
        <v>0</v>
      </c>
      <c r="AJ185" s="68">
        <v>0</v>
      </c>
      <c r="AK185" s="68">
        <v>0</v>
      </c>
      <c r="AL185" s="68">
        <v>0</v>
      </c>
      <c r="AM185" s="68">
        <v>0</v>
      </c>
      <c r="AN185" s="68">
        <v>0</v>
      </c>
      <c r="AO185" s="68">
        <v>0</v>
      </c>
      <c r="AP185" s="68">
        <v>0</v>
      </c>
      <c r="AQ185" s="68">
        <v>0</v>
      </c>
      <c r="AR185" s="68">
        <v>0</v>
      </c>
      <c r="AS185" s="68">
        <v>0</v>
      </c>
      <c r="AT185" s="68">
        <v>0</v>
      </c>
      <c r="AU185" s="68">
        <v>0</v>
      </c>
      <c r="AV185" s="68">
        <v>0</v>
      </c>
      <c r="AW185" s="68">
        <v>0</v>
      </c>
      <c r="AX185" s="68">
        <v>0</v>
      </c>
      <c r="AY185" s="68">
        <v>0</v>
      </c>
      <c r="AZ185" s="68">
        <v>0</v>
      </c>
      <c r="BA185" s="68">
        <v>0</v>
      </c>
      <c r="BB185" s="68">
        <v>0</v>
      </c>
      <c r="BC185" s="68">
        <v>0</v>
      </c>
      <c r="BD185" s="68">
        <v>0</v>
      </c>
      <c r="BE185" s="68">
        <v>0</v>
      </c>
      <c r="BF185" s="68">
        <v>0</v>
      </c>
      <c r="BG185" s="68">
        <v>0</v>
      </c>
      <c r="BH185" s="68">
        <v>0</v>
      </c>
      <c r="BI185" s="68">
        <v>0</v>
      </c>
      <c r="BJ185" s="68">
        <v>0</v>
      </c>
      <c r="BK185" s="68">
        <v>0</v>
      </c>
      <c r="BL185" s="68">
        <v>0</v>
      </c>
      <c r="BM185" s="68">
        <v>0</v>
      </c>
      <c r="BN185" s="68">
        <v>1</v>
      </c>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row>
    <row r="186" spans="1:127" x14ac:dyDescent="0.25">
      <c r="A186" s="74"/>
      <c r="B186" s="74"/>
      <c r="C186" s="66" t="s">
        <v>53</v>
      </c>
      <c r="D186" s="68">
        <v>0</v>
      </c>
      <c r="E186" s="68">
        <v>0</v>
      </c>
      <c r="F186" s="68">
        <v>0</v>
      </c>
      <c r="G186" s="68">
        <v>0</v>
      </c>
      <c r="H186" s="68">
        <v>0</v>
      </c>
      <c r="I186" s="68">
        <v>0</v>
      </c>
      <c r="J186" s="68">
        <v>0</v>
      </c>
      <c r="K186" s="68">
        <v>0</v>
      </c>
      <c r="L186" s="68">
        <v>0</v>
      </c>
      <c r="M186" s="68">
        <v>0</v>
      </c>
      <c r="N186" s="68">
        <v>0</v>
      </c>
      <c r="O186" s="68">
        <v>0</v>
      </c>
      <c r="P186" s="68">
        <v>0</v>
      </c>
      <c r="Q186" s="68">
        <v>0</v>
      </c>
      <c r="R186" s="68">
        <v>0</v>
      </c>
      <c r="S186" s="68">
        <v>0</v>
      </c>
      <c r="T186" s="68">
        <v>0</v>
      </c>
      <c r="U186" s="68">
        <v>0</v>
      </c>
      <c r="V186" s="68">
        <v>0</v>
      </c>
      <c r="W186" s="68">
        <v>0</v>
      </c>
      <c r="X186" s="68">
        <v>0</v>
      </c>
      <c r="Y186" s="68">
        <v>0</v>
      </c>
      <c r="Z186" s="68">
        <v>0</v>
      </c>
      <c r="AA186" s="68">
        <v>0</v>
      </c>
      <c r="AB186" s="68">
        <v>1</v>
      </c>
      <c r="AC186" s="68">
        <v>0</v>
      </c>
      <c r="AD186" s="68">
        <v>0</v>
      </c>
      <c r="AE186" s="68">
        <v>0</v>
      </c>
      <c r="AF186" s="68">
        <v>0</v>
      </c>
      <c r="AG186" s="68">
        <v>0</v>
      </c>
      <c r="AH186" s="68">
        <v>0</v>
      </c>
      <c r="AI186" s="68">
        <v>0</v>
      </c>
      <c r="AJ186" s="68">
        <v>0</v>
      </c>
      <c r="AK186" s="68">
        <v>0</v>
      </c>
      <c r="AL186" s="68">
        <v>0</v>
      </c>
      <c r="AM186" s="68">
        <v>0</v>
      </c>
      <c r="AN186" s="68">
        <v>0</v>
      </c>
      <c r="AO186" s="68">
        <v>0</v>
      </c>
      <c r="AP186" s="68">
        <v>0</v>
      </c>
      <c r="AQ186" s="68">
        <v>0</v>
      </c>
      <c r="AR186" s="68">
        <v>0</v>
      </c>
      <c r="AS186" s="68">
        <v>0</v>
      </c>
      <c r="AT186" s="68">
        <v>0</v>
      </c>
      <c r="AU186" s="68">
        <v>0</v>
      </c>
      <c r="AV186" s="68">
        <v>0</v>
      </c>
      <c r="AW186" s="68">
        <v>0</v>
      </c>
      <c r="AX186" s="68">
        <v>0</v>
      </c>
      <c r="AY186" s="68">
        <v>0</v>
      </c>
      <c r="AZ186" s="68">
        <v>0</v>
      </c>
      <c r="BA186" s="68">
        <v>0</v>
      </c>
      <c r="BB186" s="68">
        <v>0</v>
      </c>
      <c r="BC186" s="68">
        <v>0</v>
      </c>
      <c r="BD186" s="68">
        <v>0</v>
      </c>
      <c r="BE186" s="68">
        <v>0</v>
      </c>
      <c r="BF186" s="68">
        <v>0</v>
      </c>
      <c r="BG186" s="68">
        <v>0</v>
      </c>
      <c r="BH186" s="68">
        <v>0</v>
      </c>
      <c r="BI186" s="68">
        <v>0</v>
      </c>
      <c r="BJ186" s="68">
        <v>0</v>
      </c>
      <c r="BK186" s="68">
        <v>0</v>
      </c>
      <c r="BL186" s="68">
        <v>0</v>
      </c>
      <c r="BM186" s="68">
        <v>0</v>
      </c>
      <c r="BN186" s="68">
        <v>1</v>
      </c>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row>
    <row r="187" spans="1:127" x14ac:dyDescent="0.25">
      <c r="A187" s="74"/>
      <c r="B187" s="74"/>
      <c r="C187" s="66" t="s">
        <v>54</v>
      </c>
      <c r="D187" s="68">
        <v>0</v>
      </c>
      <c r="E187" s="68">
        <v>0</v>
      </c>
      <c r="F187" s="68">
        <v>0</v>
      </c>
      <c r="G187" s="68">
        <v>0</v>
      </c>
      <c r="H187" s="68">
        <v>0</v>
      </c>
      <c r="I187" s="68">
        <v>0</v>
      </c>
      <c r="J187" s="68">
        <v>0</v>
      </c>
      <c r="K187" s="68">
        <v>0</v>
      </c>
      <c r="L187" s="68">
        <v>0</v>
      </c>
      <c r="M187" s="68">
        <v>0</v>
      </c>
      <c r="N187" s="68">
        <v>0</v>
      </c>
      <c r="O187" s="68">
        <v>0</v>
      </c>
      <c r="P187" s="68">
        <v>0</v>
      </c>
      <c r="Q187" s="68">
        <v>0</v>
      </c>
      <c r="R187" s="68">
        <v>0</v>
      </c>
      <c r="S187" s="68">
        <v>0</v>
      </c>
      <c r="T187" s="68">
        <v>0</v>
      </c>
      <c r="U187" s="68">
        <v>0</v>
      </c>
      <c r="V187" s="68">
        <v>0</v>
      </c>
      <c r="W187" s="68">
        <v>0</v>
      </c>
      <c r="X187" s="68">
        <v>0</v>
      </c>
      <c r="Y187" s="68">
        <v>0</v>
      </c>
      <c r="Z187" s="68">
        <v>0</v>
      </c>
      <c r="AA187" s="68">
        <v>0</v>
      </c>
      <c r="AB187" s="68">
        <v>0</v>
      </c>
      <c r="AC187" s="68">
        <v>1</v>
      </c>
      <c r="AD187" s="68">
        <v>0</v>
      </c>
      <c r="AE187" s="68">
        <v>0</v>
      </c>
      <c r="AF187" s="68">
        <v>0</v>
      </c>
      <c r="AG187" s="68">
        <v>0</v>
      </c>
      <c r="AH187" s="68">
        <v>0</v>
      </c>
      <c r="AI187" s="68">
        <v>0</v>
      </c>
      <c r="AJ187" s="68">
        <v>0</v>
      </c>
      <c r="AK187" s="68">
        <v>0</v>
      </c>
      <c r="AL187" s="68">
        <v>0</v>
      </c>
      <c r="AM187" s="68">
        <v>0</v>
      </c>
      <c r="AN187" s="68">
        <v>0</v>
      </c>
      <c r="AO187" s="68">
        <v>0</v>
      </c>
      <c r="AP187" s="68">
        <v>0</v>
      </c>
      <c r="AQ187" s="68">
        <v>0</v>
      </c>
      <c r="AR187" s="68">
        <v>0</v>
      </c>
      <c r="AS187" s="68">
        <v>0</v>
      </c>
      <c r="AT187" s="68">
        <v>0</v>
      </c>
      <c r="AU187" s="68">
        <v>0</v>
      </c>
      <c r="AV187" s="68">
        <v>0</v>
      </c>
      <c r="AW187" s="68">
        <v>0</v>
      </c>
      <c r="AX187" s="68">
        <v>0</v>
      </c>
      <c r="AY187" s="68">
        <v>0</v>
      </c>
      <c r="AZ187" s="68">
        <v>0</v>
      </c>
      <c r="BA187" s="68">
        <v>0</v>
      </c>
      <c r="BB187" s="68">
        <v>0</v>
      </c>
      <c r="BC187" s="68">
        <v>0</v>
      </c>
      <c r="BD187" s="68">
        <v>0</v>
      </c>
      <c r="BE187" s="68">
        <v>0</v>
      </c>
      <c r="BF187" s="68">
        <v>0</v>
      </c>
      <c r="BG187" s="68">
        <v>0</v>
      </c>
      <c r="BH187" s="68">
        <v>0</v>
      </c>
      <c r="BI187" s="68">
        <v>0</v>
      </c>
      <c r="BJ187" s="68">
        <v>0</v>
      </c>
      <c r="BK187" s="68">
        <v>0</v>
      </c>
      <c r="BL187" s="68">
        <v>0</v>
      </c>
      <c r="BM187" s="68">
        <v>0</v>
      </c>
      <c r="BN187" s="68">
        <v>1</v>
      </c>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row>
    <row r="188" spans="1:127" x14ac:dyDescent="0.25">
      <c r="A188" s="74"/>
      <c r="B188" s="75" t="s">
        <v>213</v>
      </c>
      <c r="C188" s="74"/>
      <c r="D188" s="68">
        <v>0</v>
      </c>
      <c r="E188" s="68">
        <v>0</v>
      </c>
      <c r="F188" s="68">
        <v>0</v>
      </c>
      <c r="G188" s="68">
        <v>0</v>
      </c>
      <c r="H188" s="68">
        <v>0</v>
      </c>
      <c r="I188" s="68">
        <v>0</v>
      </c>
      <c r="J188" s="68">
        <v>0</v>
      </c>
      <c r="K188" s="68">
        <v>0</v>
      </c>
      <c r="L188" s="68">
        <v>0</v>
      </c>
      <c r="M188" s="68">
        <v>0</v>
      </c>
      <c r="N188" s="68">
        <v>0</v>
      </c>
      <c r="O188" s="68">
        <v>0</v>
      </c>
      <c r="P188" s="68">
        <v>0</v>
      </c>
      <c r="Q188" s="68">
        <v>0</v>
      </c>
      <c r="R188" s="68">
        <v>0</v>
      </c>
      <c r="S188" s="68">
        <v>0</v>
      </c>
      <c r="T188" s="68">
        <v>0</v>
      </c>
      <c r="U188" s="68">
        <v>0</v>
      </c>
      <c r="V188" s="68">
        <v>0</v>
      </c>
      <c r="W188" s="68">
        <v>0</v>
      </c>
      <c r="X188" s="68">
        <v>0</v>
      </c>
      <c r="Y188" s="68">
        <v>0</v>
      </c>
      <c r="Z188" s="68">
        <v>1</v>
      </c>
      <c r="AA188" s="68">
        <v>1</v>
      </c>
      <c r="AB188" s="68">
        <v>1</v>
      </c>
      <c r="AC188" s="68">
        <v>1</v>
      </c>
      <c r="AD188" s="68">
        <v>1</v>
      </c>
      <c r="AE188" s="68">
        <v>0</v>
      </c>
      <c r="AF188" s="68">
        <v>1</v>
      </c>
      <c r="AG188" s="68">
        <v>0</v>
      </c>
      <c r="AH188" s="68">
        <v>0</v>
      </c>
      <c r="AI188" s="68">
        <v>0</v>
      </c>
      <c r="AJ188" s="68">
        <v>0</v>
      </c>
      <c r="AK188" s="68">
        <v>0</v>
      </c>
      <c r="AL188" s="68">
        <v>0</v>
      </c>
      <c r="AM188" s="68">
        <v>0</v>
      </c>
      <c r="AN188" s="68">
        <v>0</v>
      </c>
      <c r="AO188" s="68">
        <v>0</v>
      </c>
      <c r="AP188" s="68">
        <v>0</v>
      </c>
      <c r="AQ188" s="68">
        <v>0</v>
      </c>
      <c r="AR188" s="68">
        <v>0</v>
      </c>
      <c r="AS188" s="68">
        <v>0</v>
      </c>
      <c r="AT188" s="68">
        <v>0</v>
      </c>
      <c r="AU188" s="68">
        <v>0</v>
      </c>
      <c r="AV188" s="68">
        <v>0</v>
      </c>
      <c r="AW188" s="68">
        <v>0</v>
      </c>
      <c r="AX188" s="68">
        <v>0</v>
      </c>
      <c r="AY188" s="68">
        <v>0</v>
      </c>
      <c r="AZ188" s="68">
        <v>0</v>
      </c>
      <c r="BA188" s="68">
        <v>0</v>
      </c>
      <c r="BB188" s="68">
        <v>0</v>
      </c>
      <c r="BC188" s="68">
        <v>0</v>
      </c>
      <c r="BD188" s="68">
        <v>0</v>
      </c>
      <c r="BE188" s="68">
        <v>0</v>
      </c>
      <c r="BF188" s="68">
        <v>0</v>
      </c>
      <c r="BG188" s="68">
        <v>0</v>
      </c>
      <c r="BH188" s="68">
        <v>0</v>
      </c>
      <c r="BI188" s="68">
        <v>0</v>
      </c>
      <c r="BJ188" s="68">
        <v>0</v>
      </c>
      <c r="BK188" s="68">
        <v>0</v>
      </c>
      <c r="BL188" s="68">
        <v>0</v>
      </c>
      <c r="BM188" s="68">
        <v>0</v>
      </c>
      <c r="BN188" s="68">
        <v>6</v>
      </c>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row>
    <row r="189" spans="1:127" x14ac:dyDescent="0.25">
      <c r="A189" s="75" t="s">
        <v>220</v>
      </c>
      <c r="B189" s="74"/>
      <c r="C189" s="74"/>
      <c r="D189" s="68">
        <v>0</v>
      </c>
      <c r="E189" s="68">
        <v>0</v>
      </c>
      <c r="F189" s="68">
        <v>0</v>
      </c>
      <c r="G189" s="68">
        <v>0</v>
      </c>
      <c r="H189" s="68">
        <v>0</v>
      </c>
      <c r="I189" s="68">
        <v>0</v>
      </c>
      <c r="J189" s="68">
        <v>0</v>
      </c>
      <c r="K189" s="68">
        <v>0</v>
      </c>
      <c r="L189" s="68">
        <v>0</v>
      </c>
      <c r="M189" s="68">
        <v>0</v>
      </c>
      <c r="N189" s="68">
        <v>0</v>
      </c>
      <c r="O189" s="68">
        <v>0</v>
      </c>
      <c r="P189" s="68">
        <v>0</v>
      </c>
      <c r="Q189" s="68">
        <v>0</v>
      </c>
      <c r="R189" s="68">
        <v>0</v>
      </c>
      <c r="S189" s="68">
        <v>0</v>
      </c>
      <c r="T189" s="68">
        <v>0</v>
      </c>
      <c r="U189" s="68">
        <v>0</v>
      </c>
      <c r="V189" s="68">
        <v>0</v>
      </c>
      <c r="W189" s="68">
        <v>0</v>
      </c>
      <c r="X189" s="68">
        <v>0</v>
      </c>
      <c r="Y189" s="68">
        <v>0</v>
      </c>
      <c r="Z189" s="68">
        <v>1</v>
      </c>
      <c r="AA189" s="68">
        <v>1</v>
      </c>
      <c r="AB189" s="68">
        <v>1</v>
      </c>
      <c r="AC189" s="68">
        <v>1</v>
      </c>
      <c r="AD189" s="68">
        <v>1</v>
      </c>
      <c r="AE189" s="68">
        <v>0</v>
      </c>
      <c r="AF189" s="68">
        <v>1</v>
      </c>
      <c r="AG189" s="68">
        <v>0</v>
      </c>
      <c r="AH189" s="68">
        <v>0</v>
      </c>
      <c r="AI189" s="68">
        <v>0</v>
      </c>
      <c r="AJ189" s="68">
        <v>0</v>
      </c>
      <c r="AK189" s="68">
        <v>0</v>
      </c>
      <c r="AL189" s="68">
        <v>0</v>
      </c>
      <c r="AM189" s="68">
        <v>0</v>
      </c>
      <c r="AN189" s="68">
        <v>0</v>
      </c>
      <c r="AO189" s="68">
        <v>0</v>
      </c>
      <c r="AP189" s="68">
        <v>0</v>
      </c>
      <c r="AQ189" s="68">
        <v>0</v>
      </c>
      <c r="AR189" s="68">
        <v>0</v>
      </c>
      <c r="AS189" s="68">
        <v>0</v>
      </c>
      <c r="AT189" s="68">
        <v>0</v>
      </c>
      <c r="AU189" s="68">
        <v>0</v>
      </c>
      <c r="AV189" s="68">
        <v>0</v>
      </c>
      <c r="AW189" s="68">
        <v>0</v>
      </c>
      <c r="AX189" s="68">
        <v>0</v>
      </c>
      <c r="AY189" s="68">
        <v>0</v>
      </c>
      <c r="AZ189" s="68">
        <v>0</v>
      </c>
      <c r="BA189" s="68">
        <v>0</v>
      </c>
      <c r="BB189" s="68">
        <v>0</v>
      </c>
      <c r="BC189" s="68">
        <v>0</v>
      </c>
      <c r="BD189" s="68">
        <v>0</v>
      </c>
      <c r="BE189" s="68">
        <v>0</v>
      </c>
      <c r="BF189" s="68">
        <v>0</v>
      </c>
      <c r="BG189" s="68">
        <v>0</v>
      </c>
      <c r="BH189" s="68">
        <v>0</v>
      </c>
      <c r="BI189" s="68">
        <v>0</v>
      </c>
      <c r="BJ189" s="68">
        <v>0</v>
      </c>
      <c r="BK189" s="68">
        <v>0</v>
      </c>
      <c r="BL189" s="68">
        <v>0</v>
      </c>
      <c r="BM189" s="68">
        <v>0</v>
      </c>
      <c r="BN189" s="68">
        <v>6</v>
      </c>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row>
    <row r="190" spans="1:127" x14ac:dyDescent="0.25">
      <c r="A190" s="75" t="s">
        <v>55</v>
      </c>
      <c r="B190" s="75" t="s">
        <v>5</v>
      </c>
      <c r="C190" s="66" t="s">
        <v>56</v>
      </c>
      <c r="D190" s="68">
        <v>0</v>
      </c>
      <c r="E190" s="68">
        <v>0</v>
      </c>
      <c r="F190" s="68">
        <v>0</v>
      </c>
      <c r="G190" s="68">
        <v>0</v>
      </c>
      <c r="H190" s="68">
        <v>0</v>
      </c>
      <c r="I190" s="68">
        <v>0</v>
      </c>
      <c r="J190" s="68">
        <v>0</v>
      </c>
      <c r="K190" s="68">
        <v>0</v>
      </c>
      <c r="L190" s="68">
        <v>0</v>
      </c>
      <c r="M190" s="68">
        <v>0</v>
      </c>
      <c r="N190" s="68">
        <v>0</v>
      </c>
      <c r="O190" s="68">
        <v>0</v>
      </c>
      <c r="P190" s="68">
        <v>0</v>
      </c>
      <c r="Q190" s="68">
        <v>0</v>
      </c>
      <c r="R190" s="68">
        <v>0</v>
      </c>
      <c r="S190" s="68">
        <v>0</v>
      </c>
      <c r="T190" s="68">
        <v>0</v>
      </c>
      <c r="U190" s="68">
        <v>0</v>
      </c>
      <c r="V190" s="68">
        <v>0</v>
      </c>
      <c r="W190" s="68">
        <v>0</v>
      </c>
      <c r="X190" s="68">
        <v>0</v>
      </c>
      <c r="Y190" s="68">
        <v>0</v>
      </c>
      <c r="Z190" s="68">
        <v>0</v>
      </c>
      <c r="AA190" s="68">
        <v>0</v>
      </c>
      <c r="AB190" s="68">
        <v>0</v>
      </c>
      <c r="AC190" s="68">
        <v>0</v>
      </c>
      <c r="AD190" s="68">
        <v>0</v>
      </c>
      <c r="AE190" s="68">
        <v>0</v>
      </c>
      <c r="AF190" s="68">
        <v>0</v>
      </c>
      <c r="AG190" s="68">
        <v>0</v>
      </c>
      <c r="AH190" s="68">
        <v>0</v>
      </c>
      <c r="AI190" s="68">
        <v>0</v>
      </c>
      <c r="AJ190" s="68">
        <v>0</v>
      </c>
      <c r="AK190" s="68">
        <v>0</v>
      </c>
      <c r="AL190" s="68">
        <v>0</v>
      </c>
      <c r="AM190" s="68">
        <v>0</v>
      </c>
      <c r="AN190" s="68">
        <v>0</v>
      </c>
      <c r="AO190" s="68">
        <v>0</v>
      </c>
      <c r="AP190" s="68">
        <v>0</v>
      </c>
      <c r="AQ190" s="68">
        <v>0</v>
      </c>
      <c r="AR190" s="68">
        <v>0</v>
      </c>
      <c r="AS190" s="68">
        <v>1</v>
      </c>
      <c r="AT190" s="68">
        <v>0</v>
      </c>
      <c r="AU190" s="68">
        <v>0</v>
      </c>
      <c r="AV190" s="68">
        <v>0</v>
      </c>
      <c r="AW190" s="68">
        <v>0</v>
      </c>
      <c r="AX190" s="68">
        <v>0</v>
      </c>
      <c r="AY190" s="68">
        <v>0</v>
      </c>
      <c r="AZ190" s="68">
        <v>0</v>
      </c>
      <c r="BA190" s="68">
        <v>0</v>
      </c>
      <c r="BB190" s="68">
        <v>0</v>
      </c>
      <c r="BC190" s="68">
        <v>0</v>
      </c>
      <c r="BD190" s="68">
        <v>0</v>
      </c>
      <c r="BE190" s="68">
        <v>0</v>
      </c>
      <c r="BF190" s="68">
        <v>0</v>
      </c>
      <c r="BG190" s="68">
        <v>0</v>
      </c>
      <c r="BH190" s="68">
        <v>0</v>
      </c>
      <c r="BI190" s="68">
        <v>0</v>
      </c>
      <c r="BJ190" s="68">
        <v>0</v>
      </c>
      <c r="BK190" s="68">
        <v>0</v>
      </c>
      <c r="BL190" s="68">
        <v>0</v>
      </c>
      <c r="BM190" s="68">
        <v>0</v>
      </c>
      <c r="BN190" s="68">
        <v>1</v>
      </c>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row>
    <row r="191" spans="1:127" x14ac:dyDescent="0.25">
      <c r="A191" s="74"/>
      <c r="B191" s="74"/>
      <c r="C191" s="66" t="s">
        <v>57</v>
      </c>
      <c r="D191" s="68">
        <v>0</v>
      </c>
      <c r="E191" s="68">
        <v>0</v>
      </c>
      <c r="F191" s="68">
        <v>0</v>
      </c>
      <c r="G191" s="68">
        <v>0</v>
      </c>
      <c r="H191" s="68">
        <v>0</v>
      </c>
      <c r="I191" s="68">
        <v>0</v>
      </c>
      <c r="J191" s="68">
        <v>0</v>
      </c>
      <c r="K191" s="68">
        <v>0</v>
      </c>
      <c r="L191" s="68">
        <v>0</v>
      </c>
      <c r="M191" s="68">
        <v>0</v>
      </c>
      <c r="N191" s="68">
        <v>0</v>
      </c>
      <c r="O191" s="68">
        <v>0</v>
      </c>
      <c r="P191" s="68">
        <v>0</v>
      </c>
      <c r="Q191" s="68">
        <v>0</v>
      </c>
      <c r="R191" s="68">
        <v>0</v>
      </c>
      <c r="S191" s="68">
        <v>0</v>
      </c>
      <c r="T191" s="68">
        <v>0</v>
      </c>
      <c r="U191" s="68">
        <v>0</v>
      </c>
      <c r="V191" s="68">
        <v>0</v>
      </c>
      <c r="W191" s="68">
        <v>0</v>
      </c>
      <c r="X191" s="68">
        <v>0</v>
      </c>
      <c r="Y191" s="68">
        <v>0</v>
      </c>
      <c r="Z191" s="68">
        <v>0</v>
      </c>
      <c r="AA191" s="68">
        <v>0</v>
      </c>
      <c r="AB191" s="68">
        <v>0</v>
      </c>
      <c r="AC191" s="68">
        <v>0</v>
      </c>
      <c r="AD191" s="68">
        <v>0</v>
      </c>
      <c r="AE191" s="68">
        <v>0</v>
      </c>
      <c r="AF191" s="68">
        <v>0</v>
      </c>
      <c r="AG191" s="68">
        <v>0</v>
      </c>
      <c r="AH191" s="68">
        <v>0</v>
      </c>
      <c r="AI191" s="68">
        <v>0</v>
      </c>
      <c r="AJ191" s="68">
        <v>0</v>
      </c>
      <c r="AK191" s="68">
        <v>0</v>
      </c>
      <c r="AL191" s="68">
        <v>0</v>
      </c>
      <c r="AM191" s="68">
        <v>0</v>
      </c>
      <c r="AN191" s="68">
        <v>0</v>
      </c>
      <c r="AO191" s="68">
        <v>0</v>
      </c>
      <c r="AP191" s="68">
        <v>0</v>
      </c>
      <c r="AQ191" s="68">
        <v>0</v>
      </c>
      <c r="AR191" s="68">
        <v>0</v>
      </c>
      <c r="AS191" s="68">
        <v>0</v>
      </c>
      <c r="AT191" s="68">
        <v>1</v>
      </c>
      <c r="AU191" s="68">
        <v>0</v>
      </c>
      <c r="AV191" s="68">
        <v>0</v>
      </c>
      <c r="AW191" s="68">
        <v>0</v>
      </c>
      <c r="AX191" s="68">
        <v>0</v>
      </c>
      <c r="AY191" s="68">
        <v>0</v>
      </c>
      <c r="AZ191" s="68">
        <v>0</v>
      </c>
      <c r="BA191" s="68">
        <v>0</v>
      </c>
      <c r="BB191" s="68">
        <v>0</v>
      </c>
      <c r="BC191" s="68">
        <v>0</v>
      </c>
      <c r="BD191" s="68">
        <v>0</v>
      </c>
      <c r="BE191" s="68">
        <v>0</v>
      </c>
      <c r="BF191" s="68">
        <v>0</v>
      </c>
      <c r="BG191" s="68">
        <v>0</v>
      </c>
      <c r="BH191" s="68">
        <v>0</v>
      </c>
      <c r="BI191" s="68">
        <v>0</v>
      </c>
      <c r="BJ191" s="68">
        <v>0</v>
      </c>
      <c r="BK191" s="68">
        <v>0</v>
      </c>
      <c r="BL191" s="68">
        <v>0</v>
      </c>
      <c r="BM191" s="68">
        <v>0</v>
      </c>
      <c r="BN191" s="68">
        <v>1</v>
      </c>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row>
    <row r="192" spans="1:127" x14ac:dyDescent="0.25">
      <c r="A192" s="74"/>
      <c r="B192" s="74"/>
      <c r="C192" s="66" t="s">
        <v>58</v>
      </c>
      <c r="D192" s="68">
        <v>0</v>
      </c>
      <c r="E192" s="68">
        <v>0</v>
      </c>
      <c r="F192" s="68">
        <v>0</v>
      </c>
      <c r="G192" s="68">
        <v>0</v>
      </c>
      <c r="H192" s="68">
        <v>0</v>
      </c>
      <c r="I192" s="68">
        <v>0</v>
      </c>
      <c r="J192" s="68">
        <v>0</v>
      </c>
      <c r="K192" s="68">
        <v>0</v>
      </c>
      <c r="L192" s="68">
        <v>0</v>
      </c>
      <c r="M192" s="68">
        <v>0</v>
      </c>
      <c r="N192" s="68">
        <v>0</v>
      </c>
      <c r="O192" s="68">
        <v>0</v>
      </c>
      <c r="P192" s="68">
        <v>0</v>
      </c>
      <c r="Q192" s="68">
        <v>0</v>
      </c>
      <c r="R192" s="68">
        <v>0</v>
      </c>
      <c r="S192" s="68">
        <v>0</v>
      </c>
      <c r="T192" s="68">
        <v>0</v>
      </c>
      <c r="U192" s="68">
        <v>0</v>
      </c>
      <c r="V192" s="68">
        <v>0</v>
      </c>
      <c r="W192" s="68">
        <v>0</v>
      </c>
      <c r="X192" s="68">
        <v>0</v>
      </c>
      <c r="Y192" s="68">
        <v>0</v>
      </c>
      <c r="Z192" s="68">
        <v>0</v>
      </c>
      <c r="AA192" s="68">
        <v>0</v>
      </c>
      <c r="AB192" s="68">
        <v>0</v>
      </c>
      <c r="AC192" s="68">
        <v>0</v>
      </c>
      <c r="AD192" s="68">
        <v>0</v>
      </c>
      <c r="AE192" s="68">
        <v>0</v>
      </c>
      <c r="AF192" s="68">
        <v>0</v>
      </c>
      <c r="AG192" s="68">
        <v>0</v>
      </c>
      <c r="AH192" s="68">
        <v>0</v>
      </c>
      <c r="AI192" s="68">
        <v>0</v>
      </c>
      <c r="AJ192" s="68">
        <v>0</v>
      </c>
      <c r="AK192" s="68">
        <v>0</v>
      </c>
      <c r="AL192" s="68">
        <v>0</v>
      </c>
      <c r="AM192" s="68">
        <v>0</v>
      </c>
      <c r="AN192" s="68">
        <v>0</v>
      </c>
      <c r="AO192" s="68">
        <v>0</v>
      </c>
      <c r="AP192" s="68">
        <v>0</v>
      </c>
      <c r="AQ192" s="68">
        <v>0</v>
      </c>
      <c r="AR192" s="68">
        <v>0</v>
      </c>
      <c r="AS192" s="68">
        <v>0</v>
      </c>
      <c r="AT192" s="68">
        <v>0</v>
      </c>
      <c r="AU192" s="68">
        <v>1</v>
      </c>
      <c r="AV192" s="68">
        <v>0</v>
      </c>
      <c r="AW192" s="68">
        <v>0</v>
      </c>
      <c r="AX192" s="68">
        <v>0</v>
      </c>
      <c r="AY192" s="68">
        <v>0</v>
      </c>
      <c r="AZ192" s="68">
        <v>0</v>
      </c>
      <c r="BA192" s="68">
        <v>0</v>
      </c>
      <c r="BB192" s="68">
        <v>0</v>
      </c>
      <c r="BC192" s="68">
        <v>0</v>
      </c>
      <c r="BD192" s="68">
        <v>0</v>
      </c>
      <c r="BE192" s="68">
        <v>0</v>
      </c>
      <c r="BF192" s="68">
        <v>0</v>
      </c>
      <c r="BG192" s="68">
        <v>0</v>
      </c>
      <c r="BH192" s="68">
        <v>0</v>
      </c>
      <c r="BI192" s="68">
        <v>0</v>
      </c>
      <c r="BJ192" s="68">
        <v>0</v>
      </c>
      <c r="BK192" s="68">
        <v>0</v>
      </c>
      <c r="BL192" s="68">
        <v>0</v>
      </c>
      <c r="BM192" s="68">
        <v>0</v>
      </c>
      <c r="BN192" s="68">
        <v>1</v>
      </c>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row>
    <row r="193" spans="1:127" x14ac:dyDescent="0.25">
      <c r="A193" s="74"/>
      <c r="B193" s="74"/>
      <c r="C193" s="66" t="s">
        <v>59</v>
      </c>
      <c r="D193" s="68">
        <v>0</v>
      </c>
      <c r="E193" s="68">
        <v>0</v>
      </c>
      <c r="F193" s="68">
        <v>0</v>
      </c>
      <c r="G193" s="68">
        <v>0</v>
      </c>
      <c r="H193" s="68">
        <v>0</v>
      </c>
      <c r="I193" s="68">
        <v>0</v>
      </c>
      <c r="J193" s="68">
        <v>0</v>
      </c>
      <c r="K193" s="68">
        <v>0</v>
      </c>
      <c r="L193" s="68">
        <v>0</v>
      </c>
      <c r="M193" s="68">
        <v>0</v>
      </c>
      <c r="N193" s="68">
        <v>0</v>
      </c>
      <c r="O193" s="68">
        <v>0</v>
      </c>
      <c r="P193" s="68">
        <v>0</v>
      </c>
      <c r="Q193" s="68">
        <v>0</v>
      </c>
      <c r="R193" s="68">
        <v>0</v>
      </c>
      <c r="S193" s="68">
        <v>0</v>
      </c>
      <c r="T193" s="68">
        <v>0</v>
      </c>
      <c r="U193" s="68">
        <v>0</v>
      </c>
      <c r="V193" s="68">
        <v>0</v>
      </c>
      <c r="W193" s="68">
        <v>0</v>
      </c>
      <c r="X193" s="68">
        <v>0</v>
      </c>
      <c r="Y193" s="68">
        <v>0</v>
      </c>
      <c r="Z193" s="68">
        <v>0</v>
      </c>
      <c r="AA193" s="68">
        <v>0</v>
      </c>
      <c r="AB193" s="68">
        <v>0</v>
      </c>
      <c r="AC193" s="68">
        <v>0</v>
      </c>
      <c r="AD193" s="68">
        <v>0</v>
      </c>
      <c r="AE193" s="68">
        <v>0</v>
      </c>
      <c r="AF193" s="68">
        <v>0</v>
      </c>
      <c r="AG193" s="68">
        <v>0</v>
      </c>
      <c r="AH193" s="68">
        <v>0</v>
      </c>
      <c r="AI193" s="68">
        <v>0</v>
      </c>
      <c r="AJ193" s="68">
        <v>0</v>
      </c>
      <c r="AK193" s="68">
        <v>0</v>
      </c>
      <c r="AL193" s="68">
        <v>0</v>
      </c>
      <c r="AM193" s="68">
        <v>0</v>
      </c>
      <c r="AN193" s="68">
        <v>0</v>
      </c>
      <c r="AO193" s="68">
        <v>0</v>
      </c>
      <c r="AP193" s="68">
        <v>0</v>
      </c>
      <c r="AQ193" s="68">
        <v>0</v>
      </c>
      <c r="AR193" s="68">
        <v>0</v>
      </c>
      <c r="AS193" s="68">
        <v>0</v>
      </c>
      <c r="AT193" s="68">
        <v>0</v>
      </c>
      <c r="AU193" s="68">
        <v>0</v>
      </c>
      <c r="AV193" s="68">
        <v>1</v>
      </c>
      <c r="AW193" s="68">
        <v>0</v>
      </c>
      <c r="AX193" s="68">
        <v>0</v>
      </c>
      <c r="AY193" s="68">
        <v>0</v>
      </c>
      <c r="AZ193" s="68">
        <v>0</v>
      </c>
      <c r="BA193" s="68">
        <v>0</v>
      </c>
      <c r="BB193" s="68">
        <v>0</v>
      </c>
      <c r="BC193" s="68">
        <v>0</v>
      </c>
      <c r="BD193" s="68">
        <v>0</v>
      </c>
      <c r="BE193" s="68">
        <v>0</v>
      </c>
      <c r="BF193" s="68">
        <v>0</v>
      </c>
      <c r="BG193" s="68">
        <v>0</v>
      </c>
      <c r="BH193" s="68">
        <v>0</v>
      </c>
      <c r="BI193" s="68">
        <v>0</v>
      </c>
      <c r="BJ193" s="68">
        <v>0</v>
      </c>
      <c r="BK193" s="68">
        <v>0</v>
      </c>
      <c r="BL193" s="68">
        <v>0</v>
      </c>
      <c r="BM193" s="68">
        <v>0</v>
      </c>
      <c r="BN193" s="68">
        <v>1</v>
      </c>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row>
    <row r="194" spans="1:127" x14ac:dyDescent="0.25">
      <c r="A194" s="74"/>
      <c r="B194" s="74"/>
      <c r="C194" s="66" t="s">
        <v>60</v>
      </c>
      <c r="D194" s="68">
        <v>0</v>
      </c>
      <c r="E194" s="68">
        <v>0</v>
      </c>
      <c r="F194" s="68">
        <v>0</v>
      </c>
      <c r="G194" s="68">
        <v>0</v>
      </c>
      <c r="H194" s="68">
        <v>0</v>
      </c>
      <c r="I194" s="68">
        <v>0</v>
      </c>
      <c r="J194" s="68">
        <v>0</v>
      </c>
      <c r="K194" s="68">
        <v>0</v>
      </c>
      <c r="L194" s="68">
        <v>0</v>
      </c>
      <c r="M194" s="68">
        <v>0</v>
      </c>
      <c r="N194" s="68">
        <v>0</v>
      </c>
      <c r="O194" s="68">
        <v>0</v>
      </c>
      <c r="P194" s="68">
        <v>0</v>
      </c>
      <c r="Q194" s="68">
        <v>0</v>
      </c>
      <c r="R194" s="68">
        <v>0</v>
      </c>
      <c r="S194" s="68">
        <v>0</v>
      </c>
      <c r="T194" s="68">
        <v>0</v>
      </c>
      <c r="U194" s="68">
        <v>0</v>
      </c>
      <c r="V194" s="68">
        <v>0</v>
      </c>
      <c r="W194" s="68">
        <v>0</v>
      </c>
      <c r="X194" s="68">
        <v>0</v>
      </c>
      <c r="Y194" s="68">
        <v>0</v>
      </c>
      <c r="Z194" s="68">
        <v>0</v>
      </c>
      <c r="AA194" s="68">
        <v>0</v>
      </c>
      <c r="AB194" s="68">
        <v>0</v>
      </c>
      <c r="AC194" s="68">
        <v>0</v>
      </c>
      <c r="AD194" s="68">
        <v>0</v>
      </c>
      <c r="AE194" s="68">
        <v>0</v>
      </c>
      <c r="AF194" s="68">
        <v>0</v>
      </c>
      <c r="AG194" s="68">
        <v>0</v>
      </c>
      <c r="AH194" s="68">
        <v>0</v>
      </c>
      <c r="AI194" s="68">
        <v>0</v>
      </c>
      <c r="AJ194" s="68">
        <v>0</v>
      </c>
      <c r="AK194" s="68">
        <v>0</v>
      </c>
      <c r="AL194" s="68">
        <v>0</v>
      </c>
      <c r="AM194" s="68">
        <v>0</v>
      </c>
      <c r="AN194" s="68">
        <v>0</v>
      </c>
      <c r="AO194" s="68">
        <v>0</v>
      </c>
      <c r="AP194" s="68">
        <v>0</v>
      </c>
      <c r="AQ194" s="68">
        <v>0</v>
      </c>
      <c r="AR194" s="68">
        <v>0</v>
      </c>
      <c r="AS194" s="68">
        <v>0</v>
      </c>
      <c r="AT194" s="68">
        <v>0</v>
      </c>
      <c r="AU194" s="68">
        <v>0</v>
      </c>
      <c r="AV194" s="68">
        <v>0</v>
      </c>
      <c r="AW194" s="68">
        <v>1</v>
      </c>
      <c r="AX194" s="68">
        <v>0</v>
      </c>
      <c r="AY194" s="68">
        <v>0</v>
      </c>
      <c r="AZ194" s="68">
        <v>0</v>
      </c>
      <c r="BA194" s="68">
        <v>0</v>
      </c>
      <c r="BB194" s="68">
        <v>0</v>
      </c>
      <c r="BC194" s="68">
        <v>0</v>
      </c>
      <c r="BD194" s="68">
        <v>0</v>
      </c>
      <c r="BE194" s="68">
        <v>0</v>
      </c>
      <c r="BF194" s="68">
        <v>0</v>
      </c>
      <c r="BG194" s="68">
        <v>0</v>
      </c>
      <c r="BH194" s="68">
        <v>0</v>
      </c>
      <c r="BI194" s="68">
        <v>0</v>
      </c>
      <c r="BJ194" s="68">
        <v>0</v>
      </c>
      <c r="BK194" s="68">
        <v>0</v>
      </c>
      <c r="BL194" s="68">
        <v>0</v>
      </c>
      <c r="BM194" s="68">
        <v>0</v>
      </c>
      <c r="BN194" s="68">
        <v>1</v>
      </c>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row>
    <row r="195" spans="1:127" x14ac:dyDescent="0.25">
      <c r="A195" s="74"/>
      <c r="B195" s="75" t="s">
        <v>211</v>
      </c>
      <c r="C195" s="74"/>
      <c r="D195" s="68">
        <v>0</v>
      </c>
      <c r="E195" s="68">
        <v>0</v>
      </c>
      <c r="F195" s="68">
        <v>0</v>
      </c>
      <c r="G195" s="68">
        <v>0</v>
      </c>
      <c r="H195" s="68">
        <v>0</v>
      </c>
      <c r="I195" s="68">
        <v>0</v>
      </c>
      <c r="J195" s="68">
        <v>0</v>
      </c>
      <c r="K195" s="68">
        <v>0</v>
      </c>
      <c r="L195" s="68">
        <v>0</v>
      </c>
      <c r="M195" s="68">
        <v>0</v>
      </c>
      <c r="N195" s="68">
        <v>0</v>
      </c>
      <c r="O195" s="68">
        <v>0</v>
      </c>
      <c r="P195" s="68">
        <v>0</v>
      </c>
      <c r="Q195" s="68">
        <v>0</v>
      </c>
      <c r="R195" s="68">
        <v>0</v>
      </c>
      <c r="S195" s="68">
        <v>0</v>
      </c>
      <c r="T195" s="68">
        <v>0</v>
      </c>
      <c r="U195" s="68">
        <v>0</v>
      </c>
      <c r="V195" s="68">
        <v>0</v>
      </c>
      <c r="W195" s="68">
        <v>0</v>
      </c>
      <c r="X195" s="68">
        <v>0</v>
      </c>
      <c r="Y195" s="68">
        <v>0</v>
      </c>
      <c r="Z195" s="68">
        <v>0</v>
      </c>
      <c r="AA195" s="68">
        <v>0</v>
      </c>
      <c r="AB195" s="68">
        <v>0</v>
      </c>
      <c r="AC195" s="68">
        <v>0</v>
      </c>
      <c r="AD195" s="68">
        <v>0</v>
      </c>
      <c r="AE195" s="68">
        <v>0</v>
      </c>
      <c r="AF195" s="68">
        <v>0</v>
      </c>
      <c r="AG195" s="68">
        <v>0</v>
      </c>
      <c r="AH195" s="68">
        <v>0</v>
      </c>
      <c r="AI195" s="68">
        <v>0</v>
      </c>
      <c r="AJ195" s="68">
        <v>0</v>
      </c>
      <c r="AK195" s="68">
        <v>0</v>
      </c>
      <c r="AL195" s="68">
        <v>0</v>
      </c>
      <c r="AM195" s="68">
        <v>0</v>
      </c>
      <c r="AN195" s="68">
        <v>0</v>
      </c>
      <c r="AO195" s="68">
        <v>0</v>
      </c>
      <c r="AP195" s="68">
        <v>0</v>
      </c>
      <c r="AQ195" s="68">
        <v>0</v>
      </c>
      <c r="AR195" s="68">
        <v>0</v>
      </c>
      <c r="AS195" s="68">
        <v>1</v>
      </c>
      <c r="AT195" s="68">
        <v>1</v>
      </c>
      <c r="AU195" s="68">
        <v>1</v>
      </c>
      <c r="AV195" s="68">
        <v>1</v>
      </c>
      <c r="AW195" s="68">
        <v>1</v>
      </c>
      <c r="AX195" s="68">
        <v>0</v>
      </c>
      <c r="AY195" s="68">
        <v>0</v>
      </c>
      <c r="AZ195" s="68">
        <v>0</v>
      </c>
      <c r="BA195" s="68">
        <v>0</v>
      </c>
      <c r="BB195" s="68">
        <v>0</v>
      </c>
      <c r="BC195" s="68">
        <v>0</v>
      </c>
      <c r="BD195" s="68">
        <v>0</v>
      </c>
      <c r="BE195" s="68">
        <v>0</v>
      </c>
      <c r="BF195" s="68">
        <v>0</v>
      </c>
      <c r="BG195" s="68">
        <v>0</v>
      </c>
      <c r="BH195" s="68">
        <v>0</v>
      </c>
      <c r="BI195" s="68">
        <v>0</v>
      </c>
      <c r="BJ195" s="68">
        <v>0</v>
      </c>
      <c r="BK195" s="68">
        <v>0</v>
      </c>
      <c r="BL195" s="68">
        <v>0</v>
      </c>
      <c r="BM195" s="68">
        <v>0</v>
      </c>
      <c r="BN195" s="68">
        <v>5</v>
      </c>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row>
    <row r="196" spans="1:127" x14ac:dyDescent="0.25">
      <c r="A196" s="75" t="s">
        <v>217</v>
      </c>
      <c r="B196" s="74"/>
      <c r="C196" s="74"/>
      <c r="D196" s="68">
        <v>0</v>
      </c>
      <c r="E196" s="68">
        <v>0</v>
      </c>
      <c r="F196" s="68">
        <v>0</v>
      </c>
      <c r="G196" s="68">
        <v>0</v>
      </c>
      <c r="H196" s="68">
        <v>0</v>
      </c>
      <c r="I196" s="68">
        <v>0</v>
      </c>
      <c r="J196" s="68">
        <v>0</v>
      </c>
      <c r="K196" s="68">
        <v>0</v>
      </c>
      <c r="L196" s="68">
        <v>0</v>
      </c>
      <c r="M196" s="68">
        <v>0</v>
      </c>
      <c r="N196" s="68">
        <v>0</v>
      </c>
      <c r="O196" s="68">
        <v>0</v>
      </c>
      <c r="P196" s="68">
        <v>0</v>
      </c>
      <c r="Q196" s="68">
        <v>0</v>
      </c>
      <c r="R196" s="68">
        <v>0</v>
      </c>
      <c r="S196" s="68">
        <v>0</v>
      </c>
      <c r="T196" s="68">
        <v>0</v>
      </c>
      <c r="U196" s="68">
        <v>0</v>
      </c>
      <c r="V196" s="68">
        <v>0</v>
      </c>
      <c r="W196" s="68">
        <v>0</v>
      </c>
      <c r="X196" s="68">
        <v>0</v>
      </c>
      <c r="Y196" s="68">
        <v>0</v>
      </c>
      <c r="Z196" s="68">
        <v>0</v>
      </c>
      <c r="AA196" s="68">
        <v>0</v>
      </c>
      <c r="AB196" s="68">
        <v>0</v>
      </c>
      <c r="AC196" s="68">
        <v>0</v>
      </c>
      <c r="AD196" s="68">
        <v>0</v>
      </c>
      <c r="AE196" s="68">
        <v>0</v>
      </c>
      <c r="AF196" s="68">
        <v>0</v>
      </c>
      <c r="AG196" s="68">
        <v>0</v>
      </c>
      <c r="AH196" s="68">
        <v>0</v>
      </c>
      <c r="AI196" s="68">
        <v>0</v>
      </c>
      <c r="AJ196" s="68">
        <v>0</v>
      </c>
      <c r="AK196" s="68">
        <v>0</v>
      </c>
      <c r="AL196" s="68">
        <v>0</v>
      </c>
      <c r="AM196" s="68">
        <v>0</v>
      </c>
      <c r="AN196" s="68">
        <v>0</v>
      </c>
      <c r="AO196" s="68">
        <v>0</v>
      </c>
      <c r="AP196" s="68">
        <v>0</v>
      </c>
      <c r="AQ196" s="68">
        <v>0</v>
      </c>
      <c r="AR196" s="68">
        <v>0</v>
      </c>
      <c r="AS196" s="68">
        <v>1</v>
      </c>
      <c r="AT196" s="68">
        <v>1</v>
      </c>
      <c r="AU196" s="68">
        <v>1</v>
      </c>
      <c r="AV196" s="68">
        <v>1</v>
      </c>
      <c r="AW196" s="68">
        <v>1</v>
      </c>
      <c r="AX196" s="68">
        <v>0</v>
      </c>
      <c r="AY196" s="68">
        <v>0</v>
      </c>
      <c r="AZ196" s="68">
        <v>0</v>
      </c>
      <c r="BA196" s="68">
        <v>0</v>
      </c>
      <c r="BB196" s="68">
        <v>0</v>
      </c>
      <c r="BC196" s="68">
        <v>0</v>
      </c>
      <c r="BD196" s="68">
        <v>0</v>
      </c>
      <c r="BE196" s="68">
        <v>0</v>
      </c>
      <c r="BF196" s="68">
        <v>0</v>
      </c>
      <c r="BG196" s="68">
        <v>0</v>
      </c>
      <c r="BH196" s="68">
        <v>0</v>
      </c>
      <c r="BI196" s="68">
        <v>0</v>
      </c>
      <c r="BJ196" s="68">
        <v>0</v>
      </c>
      <c r="BK196" s="68">
        <v>0</v>
      </c>
      <c r="BL196" s="68">
        <v>0</v>
      </c>
      <c r="BM196" s="68">
        <v>0</v>
      </c>
      <c r="BN196" s="68">
        <v>5</v>
      </c>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row>
    <row r="197" spans="1:127" x14ac:dyDescent="0.25">
      <c r="A197" s="75" t="s">
        <v>61</v>
      </c>
      <c r="B197" s="66" t="s">
        <v>46</v>
      </c>
      <c r="C197" s="66" t="s">
        <v>63</v>
      </c>
      <c r="D197" s="68">
        <v>0</v>
      </c>
      <c r="E197" s="68">
        <v>0</v>
      </c>
      <c r="F197" s="68">
        <v>0</v>
      </c>
      <c r="G197" s="68">
        <v>0</v>
      </c>
      <c r="H197" s="68">
        <v>0</v>
      </c>
      <c r="I197" s="68">
        <v>0</v>
      </c>
      <c r="J197" s="68">
        <v>0</v>
      </c>
      <c r="K197" s="68">
        <v>0</v>
      </c>
      <c r="L197" s="68">
        <v>0</v>
      </c>
      <c r="M197" s="68">
        <v>0</v>
      </c>
      <c r="N197" s="68">
        <v>0</v>
      </c>
      <c r="O197" s="68">
        <v>0</v>
      </c>
      <c r="P197" s="68">
        <v>0</v>
      </c>
      <c r="Q197" s="68">
        <v>0</v>
      </c>
      <c r="R197" s="68">
        <v>0</v>
      </c>
      <c r="S197" s="68">
        <v>0</v>
      </c>
      <c r="T197" s="68">
        <v>0</v>
      </c>
      <c r="U197" s="68">
        <v>0</v>
      </c>
      <c r="V197" s="68">
        <v>0</v>
      </c>
      <c r="W197" s="68">
        <v>0</v>
      </c>
      <c r="X197" s="68">
        <v>0</v>
      </c>
      <c r="Y197" s="68">
        <v>0</v>
      </c>
      <c r="Z197" s="68">
        <v>0</v>
      </c>
      <c r="AA197" s="68">
        <v>0</v>
      </c>
      <c r="AB197" s="68">
        <v>0</v>
      </c>
      <c r="AC197" s="68">
        <v>0</v>
      </c>
      <c r="AD197" s="68">
        <v>0</v>
      </c>
      <c r="AE197" s="68">
        <v>0</v>
      </c>
      <c r="AF197" s="68">
        <v>0</v>
      </c>
      <c r="AG197" s="68">
        <v>0</v>
      </c>
      <c r="AH197" s="68">
        <v>0</v>
      </c>
      <c r="AI197" s="68">
        <v>0</v>
      </c>
      <c r="AJ197" s="68">
        <v>0</v>
      </c>
      <c r="AK197" s="68">
        <v>0</v>
      </c>
      <c r="AL197" s="68">
        <v>0</v>
      </c>
      <c r="AM197" s="68">
        <v>1</v>
      </c>
      <c r="AN197" s="68">
        <v>0</v>
      </c>
      <c r="AO197" s="68">
        <v>0</v>
      </c>
      <c r="AP197" s="68">
        <v>0</v>
      </c>
      <c r="AQ197" s="68">
        <v>0</v>
      </c>
      <c r="AR197" s="68">
        <v>0</v>
      </c>
      <c r="AS197" s="68">
        <v>0</v>
      </c>
      <c r="AT197" s="68">
        <v>0</v>
      </c>
      <c r="AU197" s="68">
        <v>0</v>
      </c>
      <c r="AV197" s="68">
        <v>0</v>
      </c>
      <c r="AW197" s="68">
        <v>0</v>
      </c>
      <c r="AX197" s="68">
        <v>0</v>
      </c>
      <c r="AY197" s="68">
        <v>0</v>
      </c>
      <c r="AZ197" s="68">
        <v>0</v>
      </c>
      <c r="BA197" s="68">
        <v>0</v>
      </c>
      <c r="BB197" s="68">
        <v>0</v>
      </c>
      <c r="BC197" s="68">
        <v>0</v>
      </c>
      <c r="BD197" s="68">
        <v>0</v>
      </c>
      <c r="BE197" s="68">
        <v>0</v>
      </c>
      <c r="BF197" s="68">
        <v>0</v>
      </c>
      <c r="BG197" s="68">
        <v>0</v>
      </c>
      <c r="BH197" s="68">
        <v>0</v>
      </c>
      <c r="BI197" s="68">
        <v>0</v>
      </c>
      <c r="BJ197" s="68">
        <v>0</v>
      </c>
      <c r="BK197" s="68">
        <v>0</v>
      </c>
      <c r="BL197" s="68">
        <v>0</v>
      </c>
      <c r="BM197" s="68">
        <v>0</v>
      </c>
      <c r="BN197" s="68">
        <v>1</v>
      </c>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row>
    <row r="198" spans="1:127" x14ac:dyDescent="0.25">
      <c r="A198" s="74"/>
      <c r="B198" s="75" t="s">
        <v>213</v>
      </c>
      <c r="C198" s="74"/>
      <c r="D198" s="68">
        <v>0</v>
      </c>
      <c r="E198" s="68">
        <v>0</v>
      </c>
      <c r="F198" s="68">
        <v>0</v>
      </c>
      <c r="G198" s="68">
        <v>0</v>
      </c>
      <c r="H198" s="68">
        <v>0</v>
      </c>
      <c r="I198" s="68">
        <v>0</v>
      </c>
      <c r="J198" s="68">
        <v>0</v>
      </c>
      <c r="K198" s="68">
        <v>0</v>
      </c>
      <c r="L198" s="68">
        <v>0</v>
      </c>
      <c r="M198" s="68">
        <v>0</v>
      </c>
      <c r="N198" s="68">
        <v>0</v>
      </c>
      <c r="O198" s="68">
        <v>0</v>
      </c>
      <c r="P198" s="68">
        <v>0</v>
      </c>
      <c r="Q198" s="68">
        <v>0</v>
      </c>
      <c r="R198" s="68">
        <v>0</v>
      </c>
      <c r="S198" s="68">
        <v>0</v>
      </c>
      <c r="T198" s="68">
        <v>0</v>
      </c>
      <c r="U198" s="68">
        <v>0</v>
      </c>
      <c r="V198" s="68">
        <v>0</v>
      </c>
      <c r="W198" s="68">
        <v>0</v>
      </c>
      <c r="X198" s="68">
        <v>0</v>
      </c>
      <c r="Y198" s="68">
        <v>0</v>
      </c>
      <c r="Z198" s="68">
        <v>0</v>
      </c>
      <c r="AA198" s="68">
        <v>0</v>
      </c>
      <c r="AB198" s="68">
        <v>0</v>
      </c>
      <c r="AC198" s="68">
        <v>0</v>
      </c>
      <c r="AD198" s="68">
        <v>0</v>
      </c>
      <c r="AE198" s="68">
        <v>0</v>
      </c>
      <c r="AF198" s="68">
        <v>0</v>
      </c>
      <c r="AG198" s="68">
        <v>0</v>
      </c>
      <c r="AH198" s="68">
        <v>0</v>
      </c>
      <c r="AI198" s="68">
        <v>0</v>
      </c>
      <c r="AJ198" s="68">
        <v>0</v>
      </c>
      <c r="AK198" s="68">
        <v>0</v>
      </c>
      <c r="AL198" s="68">
        <v>0</v>
      </c>
      <c r="AM198" s="68">
        <v>1</v>
      </c>
      <c r="AN198" s="68">
        <v>0</v>
      </c>
      <c r="AO198" s="68">
        <v>0</v>
      </c>
      <c r="AP198" s="68">
        <v>0</v>
      </c>
      <c r="AQ198" s="68">
        <v>0</v>
      </c>
      <c r="AR198" s="68">
        <v>0</v>
      </c>
      <c r="AS198" s="68">
        <v>0</v>
      </c>
      <c r="AT198" s="68">
        <v>0</v>
      </c>
      <c r="AU198" s="68">
        <v>0</v>
      </c>
      <c r="AV198" s="68">
        <v>0</v>
      </c>
      <c r="AW198" s="68">
        <v>0</v>
      </c>
      <c r="AX198" s="68">
        <v>0</v>
      </c>
      <c r="AY198" s="68">
        <v>0</v>
      </c>
      <c r="AZ198" s="68">
        <v>0</v>
      </c>
      <c r="BA198" s="68">
        <v>0</v>
      </c>
      <c r="BB198" s="68">
        <v>0</v>
      </c>
      <c r="BC198" s="68">
        <v>0</v>
      </c>
      <c r="BD198" s="68">
        <v>0</v>
      </c>
      <c r="BE198" s="68">
        <v>0</v>
      </c>
      <c r="BF198" s="68">
        <v>0</v>
      </c>
      <c r="BG198" s="68">
        <v>0</v>
      </c>
      <c r="BH198" s="68">
        <v>0</v>
      </c>
      <c r="BI198" s="68">
        <v>0</v>
      </c>
      <c r="BJ198" s="68">
        <v>0</v>
      </c>
      <c r="BK198" s="68">
        <v>0</v>
      </c>
      <c r="BL198" s="68">
        <v>0</v>
      </c>
      <c r="BM198" s="68">
        <v>0</v>
      </c>
      <c r="BN198" s="68">
        <v>1</v>
      </c>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row>
    <row r="199" spans="1:127" x14ac:dyDescent="0.25">
      <c r="A199" s="75" t="s">
        <v>221</v>
      </c>
      <c r="B199" s="74"/>
      <c r="C199" s="74"/>
      <c r="D199" s="68">
        <v>0</v>
      </c>
      <c r="E199" s="68">
        <v>0</v>
      </c>
      <c r="F199" s="68">
        <v>0</v>
      </c>
      <c r="G199" s="68">
        <v>0</v>
      </c>
      <c r="H199" s="68">
        <v>0</v>
      </c>
      <c r="I199" s="68">
        <v>0</v>
      </c>
      <c r="J199" s="68">
        <v>0</v>
      </c>
      <c r="K199" s="68">
        <v>0</v>
      </c>
      <c r="L199" s="68">
        <v>0</v>
      </c>
      <c r="M199" s="68">
        <v>0</v>
      </c>
      <c r="N199" s="68">
        <v>0</v>
      </c>
      <c r="O199" s="68">
        <v>0</v>
      </c>
      <c r="P199" s="68">
        <v>0</v>
      </c>
      <c r="Q199" s="68">
        <v>0</v>
      </c>
      <c r="R199" s="68">
        <v>0</v>
      </c>
      <c r="S199" s="68">
        <v>0</v>
      </c>
      <c r="T199" s="68">
        <v>0</v>
      </c>
      <c r="U199" s="68">
        <v>0</v>
      </c>
      <c r="V199" s="68">
        <v>0</v>
      </c>
      <c r="W199" s="68">
        <v>0</v>
      </c>
      <c r="X199" s="68">
        <v>0</v>
      </c>
      <c r="Y199" s="68">
        <v>0</v>
      </c>
      <c r="Z199" s="68">
        <v>0</v>
      </c>
      <c r="AA199" s="68">
        <v>0</v>
      </c>
      <c r="AB199" s="68">
        <v>0</v>
      </c>
      <c r="AC199" s="68">
        <v>0</v>
      </c>
      <c r="AD199" s="68">
        <v>0</v>
      </c>
      <c r="AE199" s="68">
        <v>0</v>
      </c>
      <c r="AF199" s="68">
        <v>0</v>
      </c>
      <c r="AG199" s="68">
        <v>0</v>
      </c>
      <c r="AH199" s="68">
        <v>0</v>
      </c>
      <c r="AI199" s="68">
        <v>0</v>
      </c>
      <c r="AJ199" s="68">
        <v>0</v>
      </c>
      <c r="AK199" s="68">
        <v>0</v>
      </c>
      <c r="AL199" s="68">
        <v>0</v>
      </c>
      <c r="AM199" s="68">
        <v>1</v>
      </c>
      <c r="AN199" s="68">
        <v>0</v>
      </c>
      <c r="AO199" s="68">
        <v>0</v>
      </c>
      <c r="AP199" s="68">
        <v>0</v>
      </c>
      <c r="AQ199" s="68">
        <v>0</v>
      </c>
      <c r="AR199" s="68">
        <v>0</v>
      </c>
      <c r="AS199" s="68">
        <v>0</v>
      </c>
      <c r="AT199" s="68">
        <v>0</v>
      </c>
      <c r="AU199" s="68">
        <v>0</v>
      </c>
      <c r="AV199" s="68">
        <v>0</v>
      </c>
      <c r="AW199" s="68">
        <v>0</v>
      </c>
      <c r="AX199" s="68">
        <v>0</v>
      </c>
      <c r="AY199" s="68">
        <v>0</v>
      </c>
      <c r="AZ199" s="68">
        <v>0</v>
      </c>
      <c r="BA199" s="68">
        <v>0</v>
      </c>
      <c r="BB199" s="68">
        <v>0</v>
      </c>
      <c r="BC199" s="68">
        <v>0</v>
      </c>
      <c r="BD199" s="68">
        <v>0</v>
      </c>
      <c r="BE199" s="68">
        <v>0</v>
      </c>
      <c r="BF199" s="68">
        <v>0</v>
      </c>
      <c r="BG199" s="68">
        <v>0</v>
      </c>
      <c r="BH199" s="68">
        <v>0</v>
      </c>
      <c r="BI199" s="68">
        <v>0</v>
      </c>
      <c r="BJ199" s="68">
        <v>0</v>
      </c>
      <c r="BK199" s="68">
        <v>0</v>
      </c>
      <c r="BL199" s="68">
        <v>0</v>
      </c>
      <c r="BM199" s="68">
        <v>0</v>
      </c>
      <c r="BN199" s="68">
        <v>1</v>
      </c>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row>
    <row r="200" spans="1:127" x14ac:dyDescent="0.25">
      <c r="A200" s="75" t="s">
        <v>65</v>
      </c>
      <c r="B200" s="75" t="s">
        <v>64</v>
      </c>
      <c r="C200" s="66" t="s">
        <v>66</v>
      </c>
      <c r="D200" s="68">
        <v>0</v>
      </c>
      <c r="E200" s="68">
        <v>0</v>
      </c>
      <c r="F200" s="68">
        <v>0</v>
      </c>
      <c r="G200" s="68">
        <v>0</v>
      </c>
      <c r="H200" s="68">
        <v>0</v>
      </c>
      <c r="I200" s="68">
        <v>0</v>
      </c>
      <c r="J200" s="68">
        <v>0</v>
      </c>
      <c r="K200" s="68">
        <v>0</v>
      </c>
      <c r="L200" s="68">
        <v>0</v>
      </c>
      <c r="M200" s="68">
        <v>0</v>
      </c>
      <c r="N200" s="68">
        <v>0</v>
      </c>
      <c r="O200" s="68">
        <v>0</v>
      </c>
      <c r="P200" s="68">
        <v>0</v>
      </c>
      <c r="Q200" s="68">
        <v>0</v>
      </c>
      <c r="R200" s="68">
        <v>0</v>
      </c>
      <c r="S200" s="68">
        <v>0</v>
      </c>
      <c r="T200" s="68">
        <v>0</v>
      </c>
      <c r="U200" s="68">
        <v>0</v>
      </c>
      <c r="V200" s="68">
        <v>0</v>
      </c>
      <c r="W200" s="68">
        <v>0</v>
      </c>
      <c r="X200" s="68">
        <v>0</v>
      </c>
      <c r="Y200" s="68">
        <v>0</v>
      </c>
      <c r="Z200" s="68">
        <v>0</v>
      </c>
      <c r="AA200" s="68">
        <v>0</v>
      </c>
      <c r="AB200" s="68">
        <v>0</v>
      </c>
      <c r="AC200" s="68">
        <v>0</v>
      </c>
      <c r="AD200" s="68">
        <v>0</v>
      </c>
      <c r="AE200" s="68">
        <v>0</v>
      </c>
      <c r="AF200" s="68">
        <v>0</v>
      </c>
      <c r="AG200" s="68">
        <v>0</v>
      </c>
      <c r="AH200" s="68">
        <v>0</v>
      </c>
      <c r="AI200" s="68">
        <v>0</v>
      </c>
      <c r="AJ200" s="68">
        <v>0</v>
      </c>
      <c r="AK200" s="68">
        <v>0</v>
      </c>
      <c r="AL200" s="68">
        <v>0</v>
      </c>
      <c r="AM200" s="68">
        <v>0</v>
      </c>
      <c r="AN200" s="68">
        <v>0</v>
      </c>
      <c r="AO200" s="68">
        <v>0</v>
      </c>
      <c r="AP200" s="68">
        <v>0</v>
      </c>
      <c r="AQ200" s="68">
        <v>0</v>
      </c>
      <c r="AR200" s="68">
        <v>0</v>
      </c>
      <c r="AS200" s="68">
        <v>0</v>
      </c>
      <c r="AT200" s="68">
        <v>0</v>
      </c>
      <c r="AU200" s="68">
        <v>0</v>
      </c>
      <c r="AV200" s="68">
        <v>0</v>
      </c>
      <c r="AW200" s="68">
        <v>0</v>
      </c>
      <c r="AX200" s="68">
        <v>0</v>
      </c>
      <c r="AY200" s="68">
        <v>0</v>
      </c>
      <c r="AZ200" s="68">
        <v>0</v>
      </c>
      <c r="BA200" s="68">
        <v>0</v>
      </c>
      <c r="BB200" s="68">
        <v>0</v>
      </c>
      <c r="BC200" s="68">
        <v>1</v>
      </c>
      <c r="BD200" s="68">
        <v>0</v>
      </c>
      <c r="BE200" s="68">
        <v>0</v>
      </c>
      <c r="BF200" s="68">
        <v>0</v>
      </c>
      <c r="BG200" s="68">
        <v>0</v>
      </c>
      <c r="BH200" s="68">
        <v>0</v>
      </c>
      <c r="BI200" s="68">
        <v>0</v>
      </c>
      <c r="BJ200" s="68">
        <v>0</v>
      </c>
      <c r="BK200" s="68">
        <v>0</v>
      </c>
      <c r="BL200" s="68">
        <v>0</v>
      </c>
      <c r="BM200" s="68">
        <v>0</v>
      </c>
      <c r="BN200" s="68">
        <v>1</v>
      </c>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row>
    <row r="201" spans="1:127" x14ac:dyDescent="0.25">
      <c r="A201" s="74"/>
      <c r="B201" s="74"/>
      <c r="C201" s="66" t="s">
        <v>67</v>
      </c>
      <c r="D201" s="68">
        <v>0</v>
      </c>
      <c r="E201" s="68">
        <v>0</v>
      </c>
      <c r="F201" s="68">
        <v>0</v>
      </c>
      <c r="G201" s="68">
        <v>0</v>
      </c>
      <c r="H201" s="68">
        <v>0</v>
      </c>
      <c r="I201" s="68">
        <v>0</v>
      </c>
      <c r="J201" s="68">
        <v>0</v>
      </c>
      <c r="K201" s="68">
        <v>0</v>
      </c>
      <c r="L201" s="68">
        <v>0</v>
      </c>
      <c r="M201" s="68">
        <v>0</v>
      </c>
      <c r="N201" s="68">
        <v>0</v>
      </c>
      <c r="O201" s="68">
        <v>0</v>
      </c>
      <c r="P201" s="68">
        <v>0</v>
      </c>
      <c r="Q201" s="68">
        <v>0</v>
      </c>
      <c r="R201" s="68">
        <v>0</v>
      </c>
      <c r="S201" s="68">
        <v>0</v>
      </c>
      <c r="T201" s="68">
        <v>0</v>
      </c>
      <c r="U201" s="68">
        <v>0</v>
      </c>
      <c r="V201" s="68">
        <v>0</v>
      </c>
      <c r="W201" s="68">
        <v>0</v>
      </c>
      <c r="X201" s="68">
        <v>0</v>
      </c>
      <c r="Y201" s="68">
        <v>0</v>
      </c>
      <c r="Z201" s="68">
        <v>0</v>
      </c>
      <c r="AA201" s="68">
        <v>0</v>
      </c>
      <c r="AB201" s="68">
        <v>0</v>
      </c>
      <c r="AC201" s="68">
        <v>0</v>
      </c>
      <c r="AD201" s="68">
        <v>0</v>
      </c>
      <c r="AE201" s="68">
        <v>0</v>
      </c>
      <c r="AF201" s="68">
        <v>0</v>
      </c>
      <c r="AG201" s="68">
        <v>0</v>
      </c>
      <c r="AH201" s="68">
        <v>0</v>
      </c>
      <c r="AI201" s="68">
        <v>0</v>
      </c>
      <c r="AJ201" s="68">
        <v>0</v>
      </c>
      <c r="AK201" s="68">
        <v>0</v>
      </c>
      <c r="AL201" s="68">
        <v>0</v>
      </c>
      <c r="AM201" s="68">
        <v>0</v>
      </c>
      <c r="AN201" s="68">
        <v>0</v>
      </c>
      <c r="AO201" s="68">
        <v>0</v>
      </c>
      <c r="AP201" s="68">
        <v>0</v>
      </c>
      <c r="AQ201" s="68">
        <v>0</v>
      </c>
      <c r="AR201" s="68">
        <v>0</v>
      </c>
      <c r="AS201" s="68">
        <v>0</v>
      </c>
      <c r="AT201" s="68">
        <v>0</v>
      </c>
      <c r="AU201" s="68">
        <v>0</v>
      </c>
      <c r="AV201" s="68">
        <v>0</v>
      </c>
      <c r="AW201" s="68">
        <v>0</v>
      </c>
      <c r="AX201" s="68">
        <v>0</v>
      </c>
      <c r="AY201" s="68">
        <v>0</v>
      </c>
      <c r="AZ201" s="68">
        <v>0</v>
      </c>
      <c r="BA201" s="68">
        <v>0</v>
      </c>
      <c r="BB201" s="68">
        <v>0</v>
      </c>
      <c r="BC201" s="68">
        <v>0</v>
      </c>
      <c r="BD201" s="68">
        <v>1</v>
      </c>
      <c r="BE201" s="68">
        <v>0</v>
      </c>
      <c r="BF201" s="68">
        <v>0</v>
      </c>
      <c r="BG201" s="68">
        <v>0</v>
      </c>
      <c r="BH201" s="68">
        <v>0</v>
      </c>
      <c r="BI201" s="68">
        <v>0</v>
      </c>
      <c r="BJ201" s="68">
        <v>0</v>
      </c>
      <c r="BK201" s="68">
        <v>0</v>
      </c>
      <c r="BL201" s="68">
        <v>0</v>
      </c>
      <c r="BM201" s="68">
        <v>0</v>
      </c>
      <c r="BN201" s="68">
        <v>1</v>
      </c>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row>
    <row r="202" spans="1:127" x14ac:dyDescent="0.25">
      <c r="A202" s="74"/>
      <c r="B202" s="74"/>
      <c r="C202" s="66" t="s">
        <v>68</v>
      </c>
      <c r="D202" s="68">
        <v>0</v>
      </c>
      <c r="E202" s="68">
        <v>0</v>
      </c>
      <c r="F202" s="68">
        <v>0</v>
      </c>
      <c r="G202" s="68">
        <v>0</v>
      </c>
      <c r="H202" s="68">
        <v>0</v>
      </c>
      <c r="I202" s="68">
        <v>0</v>
      </c>
      <c r="J202" s="68">
        <v>0</v>
      </c>
      <c r="K202" s="68">
        <v>0</v>
      </c>
      <c r="L202" s="68">
        <v>0</v>
      </c>
      <c r="M202" s="68">
        <v>0</v>
      </c>
      <c r="N202" s="68">
        <v>0</v>
      </c>
      <c r="O202" s="68">
        <v>0</v>
      </c>
      <c r="P202" s="68">
        <v>0</v>
      </c>
      <c r="Q202" s="68">
        <v>0</v>
      </c>
      <c r="R202" s="68">
        <v>0</v>
      </c>
      <c r="S202" s="68">
        <v>0</v>
      </c>
      <c r="T202" s="68">
        <v>0</v>
      </c>
      <c r="U202" s="68">
        <v>0</v>
      </c>
      <c r="V202" s="68">
        <v>0</v>
      </c>
      <c r="W202" s="68">
        <v>0</v>
      </c>
      <c r="X202" s="68">
        <v>0</v>
      </c>
      <c r="Y202" s="68">
        <v>0</v>
      </c>
      <c r="Z202" s="68">
        <v>0</v>
      </c>
      <c r="AA202" s="68">
        <v>0</v>
      </c>
      <c r="AB202" s="68">
        <v>0</v>
      </c>
      <c r="AC202" s="68">
        <v>0</v>
      </c>
      <c r="AD202" s="68">
        <v>0</v>
      </c>
      <c r="AE202" s="68">
        <v>0</v>
      </c>
      <c r="AF202" s="68">
        <v>0</v>
      </c>
      <c r="AG202" s="68">
        <v>0</v>
      </c>
      <c r="AH202" s="68">
        <v>0</v>
      </c>
      <c r="AI202" s="68">
        <v>0</v>
      </c>
      <c r="AJ202" s="68">
        <v>0</v>
      </c>
      <c r="AK202" s="68">
        <v>0</v>
      </c>
      <c r="AL202" s="68">
        <v>0</v>
      </c>
      <c r="AM202" s="68">
        <v>0</v>
      </c>
      <c r="AN202" s="68">
        <v>0</v>
      </c>
      <c r="AO202" s="68">
        <v>0</v>
      </c>
      <c r="AP202" s="68">
        <v>0</v>
      </c>
      <c r="AQ202" s="68">
        <v>0</v>
      </c>
      <c r="AR202" s="68">
        <v>0</v>
      </c>
      <c r="AS202" s="68">
        <v>0</v>
      </c>
      <c r="AT202" s="68">
        <v>0</v>
      </c>
      <c r="AU202" s="68">
        <v>0</v>
      </c>
      <c r="AV202" s="68">
        <v>0</v>
      </c>
      <c r="AW202" s="68">
        <v>0</v>
      </c>
      <c r="AX202" s="68">
        <v>0</v>
      </c>
      <c r="AY202" s="68">
        <v>0</v>
      </c>
      <c r="AZ202" s="68">
        <v>0</v>
      </c>
      <c r="BA202" s="68">
        <v>0</v>
      </c>
      <c r="BB202" s="68">
        <v>0</v>
      </c>
      <c r="BC202" s="68">
        <v>0</v>
      </c>
      <c r="BD202" s="68">
        <v>0</v>
      </c>
      <c r="BE202" s="68">
        <v>1</v>
      </c>
      <c r="BF202" s="68">
        <v>0</v>
      </c>
      <c r="BG202" s="68">
        <v>0</v>
      </c>
      <c r="BH202" s="68">
        <v>0</v>
      </c>
      <c r="BI202" s="68">
        <v>0</v>
      </c>
      <c r="BJ202" s="68">
        <v>0</v>
      </c>
      <c r="BK202" s="68">
        <v>0</v>
      </c>
      <c r="BL202" s="68">
        <v>0</v>
      </c>
      <c r="BM202" s="68">
        <v>0</v>
      </c>
      <c r="BN202" s="68">
        <v>1</v>
      </c>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row>
    <row r="203" spans="1:127" x14ac:dyDescent="0.25">
      <c r="A203" s="74"/>
      <c r="B203" s="74"/>
      <c r="C203" s="66" t="s">
        <v>69</v>
      </c>
      <c r="D203" s="68">
        <v>0</v>
      </c>
      <c r="E203" s="68">
        <v>0</v>
      </c>
      <c r="F203" s="68">
        <v>0</v>
      </c>
      <c r="G203" s="68">
        <v>0</v>
      </c>
      <c r="H203" s="68">
        <v>0</v>
      </c>
      <c r="I203" s="68">
        <v>0</v>
      </c>
      <c r="J203" s="68">
        <v>0</v>
      </c>
      <c r="K203" s="68">
        <v>0</v>
      </c>
      <c r="L203" s="68">
        <v>0</v>
      </c>
      <c r="M203" s="68">
        <v>0</v>
      </c>
      <c r="N203" s="68">
        <v>0</v>
      </c>
      <c r="O203" s="68">
        <v>0</v>
      </c>
      <c r="P203" s="68">
        <v>0</v>
      </c>
      <c r="Q203" s="68">
        <v>0</v>
      </c>
      <c r="R203" s="68">
        <v>0</v>
      </c>
      <c r="S203" s="68">
        <v>0</v>
      </c>
      <c r="T203" s="68">
        <v>0</v>
      </c>
      <c r="U203" s="68">
        <v>0</v>
      </c>
      <c r="V203" s="68">
        <v>0</v>
      </c>
      <c r="W203" s="68">
        <v>0</v>
      </c>
      <c r="X203" s="68">
        <v>0</v>
      </c>
      <c r="Y203" s="68">
        <v>0</v>
      </c>
      <c r="Z203" s="68">
        <v>0</v>
      </c>
      <c r="AA203" s="68">
        <v>0</v>
      </c>
      <c r="AB203" s="68">
        <v>0</v>
      </c>
      <c r="AC203" s="68">
        <v>0</v>
      </c>
      <c r="AD203" s="68">
        <v>0</v>
      </c>
      <c r="AE203" s="68">
        <v>0</v>
      </c>
      <c r="AF203" s="68">
        <v>0</v>
      </c>
      <c r="AG203" s="68">
        <v>0</v>
      </c>
      <c r="AH203" s="68">
        <v>0</v>
      </c>
      <c r="AI203" s="68">
        <v>0</v>
      </c>
      <c r="AJ203" s="68">
        <v>0</v>
      </c>
      <c r="AK203" s="68">
        <v>0</v>
      </c>
      <c r="AL203" s="68">
        <v>0</v>
      </c>
      <c r="AM203" s="68">
        <v>0</v>
      </c>
      <c r="AN203" s="68">
        <v>0</v>
      </c>
      <c r="AO203" s="68">
        <v>0</v>
      </c>
      <c r="AP203" s="68">
        <v>0</v>
      </c>
      <c r="AQ203" s="68">
        <v>0</v>
      </c>
      <c r="AR203" s="68">
        <v>0</v>
      </c>
      <c r="AS203" s="68">
        <v>0</v>
      </c>
      <c r="AT203" s="68">
        <v>0</v>
      </c>
      <c r="AU203" s="68">
        <v>0</v>
      </c>
      <c r="AV203" s="68">
        <v>0</v>
      </c>
      <c r="AW203" s="68">
        <v>0</v>
      </c>
      <c r="AX203" s="68">
        <v>0</v>
      </c>
      <c r="AY203" s="68">
        <v>0</v>
      </c>
      <c r="AZ203" s="68">
        <v>0</v>
      </c>
      <c r="BA203" s="68">
        <v>0</v>
      </c>
      <c r="BB203" s="68">
        <v>0</v>
      </c>
      <c r="BC203" s="68">
        <v>0</v>
      </c>
      <c r="BD203" s="68">
        <v>0</v>
      </c>
      <c r="BE203" s="68">
        <v>0</v>
      </c>
      <c r="BF203" s="68">
        <v>1</v>
      </c>
      <c r="BG203" s="68">
        <v>0</v>
      </c>
      <c r="BH203" s="68">
        <v>0</v>
      </c>
      <c r="BI203" s="68">
        <v>0</v>
      </c>
      <c r="BJ203" s="68">
        <v>0</v>
      </c>
      <c r="BK203" s="68">
        <v>0</v>
      </c>
      <c r="BL203" s="68">
        <v>0</v>
      </c>
      <c r="BM203" s="68">
        <v>0</v>
      </c>
      <c r="BN203" s="68">
        <v>1</v>
      </c>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row>
    <row r="204" spans="1:127" x14ac:dyDescent="0.25">
      <c r="A204" s="74"/>
      <c r="B204" s="74"/>
      <c r="C204" s="66" t="s">
        <v>70</v>
      </c>
      <c r="D204" s="68">
        <v>0</v>
      </c>
      <c r="E204" s="68">
        <v>0</v>
      </c>
      <c r="F204" s="68">
        <v>0</v>
      </c>
      <c r="G204" s="68">
        <v>0</v>
      </c>
      <c r="H204" s="68">
        <v>0</v>
      </c>
      <c r="I204" s="68">
        <v>0</v>
      </c>
      <c r="J204" s="68">
        <v>0</v>
      </c>
      <c r="K204" s="68">
        <v>0</v>
      </c>
      <c r="L204" s="68">
        <v>0</v>
      </c>
      <c r="M204" s="68">
        <v>0</v>
      </c>
      <c r="N204" s="68">
        <v>0</v>
      </c>
      <c r="O204" s="68">
        <v>0</v>
      </c>
      <c r="P204" s="68">
        <v>0</v>
      </c>
      <c r="Q204" s="68">
        <v>0</v>
      </c>
      <c r="R204" s="68">
        <v>0</v>
      </c>
      <c r="S204" s="68">
        <v>0</v>
      </c>
      <c r="T204" s="68">
        <v>0</v>
      </c>
      <c r="U204" s="68">
        <v>0</v>
      </c>
      <c r="V204" s="68">
        <v>0</v>
      </c>
      <c r="W204" s="68">
        <v>0</v>
      </c>
      <c r="X204" s="68">
        <v>0</v>
      </c>
      <c r="Y204" s="68">
        <v>0</v>
      </c>
      <c r="Z204" s="68">
        <v>0</v>
      </c>
      <c r="AA204" s="68">
        <v>0</v>
      </c>
      <c r="AB204" s="68">
        <v>0</v>
      </c>
      <c r="AC204" s="68">
        <v>0</v>
      </c>
      <c r="AD204" s="68">
        <v>0</v>
      </c>
      <c r="AE204" s="68">
        <v>0</v>
      </c>
      <c r="AF204" s="68">
        <v>0</v>
      </c>
      <c r="AG204" s="68">
        <v>0</v>
      </c>
      <c r="AH204" s="68">
        <v>0</v>
      </c>
      <c r="AI204" s="68">
        <v>0</v>
      </c>
      <c r="AJ204" s="68">
        <v>0</v>
      </c>
      <c r="AK204" s="68">
        <v>0</v>
      </c>
      <c r="AL204" s="68">
        <v>0</v>
      </c>
      <c r="AM204" s="68">
        <v>0</v>
      </c>
      <c r="AN204" s="68">
        <v>0</v>
      </c>
      <c r="AO204" s="68">
        <v>0</v>
      </c>
      <c r="AP204" s="68">
        <v>0</v>
      </c>
      <c r="AQ204" s="68">
        <v>0</v>
      </c>
      <c r="AR204" s="68">
        <v>0</v>
      </c>
      <c r="AS204" s="68">
        <v>0</v>
      </c>
      <c r="AT204" s="68">
        <v>0</v>
      </c>
      <c r="AU204" s="68">
        <v>0</v>
      </c>
      <c r="AV204" s="68">
        <v>0</v>
      </c>
      <c r="AW204" s="68">
        <v>0</v>
      </c>
      <c r="AX204" s="68">
        <v>0</v>
      </c>
      <c r="AY204" s="68">
        <v>0</v>
      </c>
      <c r="AZ204" s="68">
        <v>0</v>
      </c>
      <c r="BA204" s="68">
        <v>0</v>
      </c>
      <c r="BB204" s="68">
        <v>0</v>
      </c>
      <c r="BC204" s="68">
        <v>0</v>
      </c>
      <c r="BD204" s="68">
        <v>0</v>
      </c>
      <c r="BE204" s="68">
        <v>0</v>
      </c>
      <c r="BF204" s="68">
        <v>0</v>
      </c>
      <c r="BG204" s="68">
        <v>0</v>
      </c>
      <c r="BH204" s="68">
        <v>0</v>
      </c>
      <c r="BI204" s="68">
        <v>0</v>
      </c>
      <c r="BJ204" s="68">
        <v>0</v>
      </c>
      <c r="BK204" s="68">
        <v>1</v>
      </c>
      <c r="BL204" s="68">
        <v>0</v>
      </c>
      <c r="BM204" s="68">
        <v>0</v>
      </c>
      <c r="BN204" s="68">
        <v>1</v>
      </c>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row>
    <row r="205" spans="1:127" x14ac:dyDescent="0.25">
      <c r="A205" s="74"/>
      <c r="B205" s="74"/>
      <c r="C205" s="66" t="s">
        <v>71</v>
      </c>
      <c r="D205" s="68">
        <v>0</v>
      </c>
      <c r="E205" s="68">
        <v>0</v>
      </c>
      <c r="F205" s="68">
        <v>0</v>
      </c>
      <c r="G205" s="68">
        <v>0</v>
      </c>
      <c r="H205" s="68">
        <v>0</v>
      </c>
      <c r="I205" s="68">
        <v>0</v>
      </c>
      <c r="J205" s="68">
        <v>0</v>
      </c>
      <c r="K205" s="68">
        <v>0</v>
      </c>
      <c r="L205" s="68">
        <v>0</v>
      </c>
      <c r="M205" s="68">
        <v>0</v>
      </c>
      <c r="N205" s="68">
        <v>0</v>
      </c>
      <c r="O205" s="68">
        <v>0</v>
      </c>
      <c r="P205" s="68">
        <v>0</v>
      </c>
      <c r="Q205" s="68">
        <v>0</v>
      </c>
      <c r="R205" s="68">
        <v>0</v>
      </c>
      <c r="S205" s="68">
        <v>0</v>
      </c>
      <c r="T205" s="68">
        <v>0</v>
      </c>
      <c r="U205" s="68">
        <v>0</v>
      </c>
      <c r="V205" s="68">
        <v>0</v>
      </c>
      <c r="W205" s="68">
        <v>0</v>
      </c>
      <c r="X205" s="68">
        <v>0</v>
      </c>
      <c r="Y205" s="68">
        <v>0</v>
      </c>
      <c r="Z205" s="68">
        <v>0</v>
      </c>
      <c r="AA205" s="68">
        <v>0</v>
      </c>
      <c r="AB205" s="68">
        <v>0</v>
      </c>
      <c r="AC205" s="68">
        <v>0</v>
      </c>
      <c r="AD205" s="68">
        <v>0</v>
      </c>
      <c r="AE205" s="68">
        <v>0</v>
      </c>
      <c r="AF205" s="68">
        <v>0</v>
      </c>
      <c r="AG205" s="68">
        <v>0</v>
      </c>
      <c r="AH205" s="68">
        <v>0</v>
      </c>
      <c r="AI205" s="68">
        <v>0</v>
      </c>
      <c r="AJ205" s="68">
        <v>0</v>
      </c>
      <c r="AK205" s="68">
        <v>0</v>
      </c>
      <c r="AL205" s="68">
        <v>0</v>
      </c>
      <c r="AM205" s="68">
        <v>0</v>
      </c>
      <c r="AN205" s="68">
        <v>0</v>
      </c>
      <c r="AO205" s="68">
        <v>0</v>
      </c>
      <c r="AP205" s="68">
        <v>0</v>
      </c>
      <c r="AQ205" s="68">
        <v>0</v>
      </c>
      <c r="AR205" s="68">
        <v>0</v>
      </c>
      <c r="AS205" s="68">
        <v>0</v>
      </c>
      <c r="AT205" s="68">
        <v>0</v>
      </c>
      <c r="AU205" s="68">
        <v>0</v>
      </c>
      <c r="AV205" s="68">
        <v>0</v>
      </c>
      <c r="AW205" s="68">
        <v>0</v>
      </c>
      <c r="AX205" s="68">
        <v>0</v>
      </c>
      <c r="AY205" s="68">
        <v>0</v>
      </c>
      <c r="AZ205" s="68">
        <v>0</v>
      </c>
      <c r="BA205" s="68">
        <v>0</v>
      </c>
      <c r="BB205" s="68">
        <v>0</v>
      </c>
      <c r="BC205" s="68">
        <v>0</v>
      </c>
      <c r="BD205" s="68">
        <v>0</v>
      </c>
      <c r="BE205" s="68">
        <v>0</v>
      </c>
      <c r="BF205" s="68">
        <v>0</v>
      </c>
      <c r="BG205" s="68">
        <v>0</v>
      </c>
      <c r="BH205" s="68">
        <v>0</v>
      </c>
      <c r="BI205" s="68">
        <v>0</v>
      </c>
      <c r="BJ205" s="68">
        <v>0</v>
      </c>
      <c r="BK205" s="68">
        <v>0</v>
      </c>
      <c r="BL205" s="68">
        <v>1</v>
      </c>
      <c r="BM205" s="68">
        <v>0</v>
      </c>
      <c r="BN205" s="68">
        <v>1</v>
      </c>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row>
    <row r="206" spans="1:127" x14ac:dyDescent="0.25">
      <c r="A206" s="74"/>
      <c r="B206" s="74"/>
      <c r="C206" s="66" t="s">
        <v>72</v>
      </c>
      <c r="D206" s="68">
        <v>0</v>
      </c>
      <c r="E206" s="68">
        <v>0</v>
      </c>
      <c r="F206" s="68">
        <v>0</v>
      </c>
      <c r="G206" s="68">
        <v>0</v>
      </c>
      <c r="H206" s="68">
        <v>0</v>
      </c>
      <c r="I206" s="68">
        <v>0</v>
      </c>
      <c r="J206" s="68">
        <v>0</v>
      </c>
      <c r="K206" s="68">
        <v>0</v>
      </c>
      <c r="L206" s="68">
        <v>0</v>
      </c>
      <c r="M206" s="68">
        <v>0</v>
      </c>
      <c r="N206" s="68">
        <v>0</v>
      </c>
      <c r="O206" s="68">
        <v>0</v>
      </c>
      <c r="P206" s="68">
        <v>0</v>
      </c>
      <c r="Q206" s="68">
        <v>0</v>
      </c>
      <c r="R206" s="68">
        <v>0</v>
      </c>
      <c r="S206" s="68">
        <v>0</v>
      </c>
      <c r="T206" s="68">
        <v>0</v>
      </c>
      <c r="U206" s="68">
        <v>0</v>
      </c>
      <c r="V206" s="68">
        <v>0</v>
      </c>
      <c r="W206" s="68">
        <v>0</v>
      </c>
      <c r="X206" s="68">
        <v>0</v>
      </c>
      <c r="Y206" s="68">
        <v>0</v>
      </c>
      <c r="Z206" s="68">
        <v>0</v>
      </c>
      <c r="AA206" s="68">
        <v>0</v>
      </c>
      <c r="AB206" s="68">
        <v>0</v>
      </c>
      <c r="AC206" s="68">
        <v>0</v>
      </c>
      <c r="AD206" s="68">
        <v>0</v>
      </c>
      <c r="AE206" s="68">
        <v>0</v>
      </c>
      <c r="AF206" s="68">
        <v>0</v>
      </c>
      <c r="AG206" s="68">
        <v>0</v>
      </c>
      <c r="AH206" s="68">
        <v>0</v>
      </c>
      <c r="AI206" s="68">
        <v>0</v>
      </c>
      <c r="AJ206" s="68">
        <v>0</v>
      </c>
      <c r="AK206" s="68">
        <v>0</v>
      </c>
      <c r="AL206" s="68">
        <v>0</v>
      </c>
      <c r="AM206" s="68">
        <v>0</v>
      </c>
      <c r="AN206" s="68">
        <v>0</v>
      </c>
      <c r="AO206" s="68">
        <v>0</v>
      </c>
      <c r="AP206" s="68">
        <v>0</v>
      </c>
      <c r="AQ206" s="68">
        <v>0</v>
      </c>
      <c r="AR206" s="68">
        <v>0</v>
      </c>
      <c r="AS206" s="68">
        <v>0</v>
      </c>
      <c r="AT206" s="68">
        <v>0</v>
      </c>
      <c r="AU206" s="68">
        <v>0</v>
      </c>
      <c r="AV206" s="68">
        <v>0</v>
      </c>
      <c r="AW206" s="68">
        <v>0</v>
      </c>
      <c r="AX206" s="68">
        <v>0</v>
      </c>
      <c r="AY206" s="68">
        <v>0</v>
      </c>
      <c r="AZ206" s="68">
        <v>0</v>
      </c>
      <c r="BA206" s="68">
        <v>0</v>
      </c>
      <c r="BB206" s="68">
        <v>0</v>
      </c>
      <c r="BC206" s="68">
        <v>0</v>
      </c>
      <c r="BD206" s="68">
        <v>0</v>
      </c>
      <c r="BE206" s="68">
        <v>0</v>
      </c>
      <c r="BF206" s="68">
        <v>0</v>
      </c>
      <c r="BG206" s="68">
        <v>0</v>
      </c>
      <c r="BH206" s="68">
        <v>0</v>
      </c>
      <c r="BI206" s="68">
        <v>0</v>
      </c>
      <c r="BJ206" s="68">
        <v>0</v>
      </c>
      <c r="BK206" s="68">
        <v>0</v>
      </c>
      <c r="BL206" s="68">
        <v>0</v>
      </c>
      <c r="BM206" s="68">
        <v>1</v>
      </c>
      <c r="BN206" s="68">
        <v>1</v>
      </c>
      <c r="BO206"/>
      <c r="BP206"/>
      <c r="BQ206"/>
      <c r="BR206"/>
      <c r="BS206"/>
      <c r="BT206"/>
      <c r="BU206"/>
      <c r="BV206"/>
      <c r="BW206"/>
      <c r="BX206"/>
    </row>
    <row r="207" spans="1:127" x14ac:dyDescent="0.25">
      <c r="A207" s="74"/>
      <c r="B207" s="74"/>
      <c r="C207" s="66" t="s">
        <v>73</v>
      </c>
      <c r="D207" s="68">
        <v>0</v>
      </c>
      <c r="E207" s="68">
        <v>0</v>
      </c>
      <c r="F207" s="68">
        <v>0</v>
      </c>
      <c r="G207" s="68">
        <v>0</v>
      </c>
      <c r="H207" s="68">
        <v>0</v>
      </c>
      <c r="I207" s="68">
        <v>0</v>
      </c>
      <c r="J207" s="68">
        <v>0</v>
      </c>
      <c r="K207" s="68">
        <v>0</v>
      </c>
      <c r="L207" s="68">
        <v>0</v>
      </c>
      <c r="M207" s="68">
        <v>0</v>
      </c>
      <c r="N207" s="68">
        <v>0</v>
      </c>
      <c r="O207" s="68">
        <v>0</v>
      </c>
      <c r="P207" s="68">
        <v>0</v>
      </c>
      <c r="Q207" s="68">
        <v>0</v>
      </c>
      <c r="R207" s="68">
        <v>0</v>
      </c>
      <c r="S207" s="68">
        <v>0</v>
      </c>
      <c r="T207" s="68">
        <v>0</v>
      </c>
      <c r="U207" s="68">
        <v>0</v>
      </c>
      <c r="V207" s="68">
        <v>0</v>
      </c>
      <c r="W207" s="68">
        <v>0</v>
      </c>
      <c r="X207" s="68">
        <v>0</v>
      </c>
      <c r="Y207" s="68">
        <v>0</v>
      </c>
      <c r="Z207" s="68">
        <v>0</v>
      </c>
      <c r="AA207" s="68">
        <v>0</v>
      </c>
      <c r="AB207" s="68">
        <v>0</v>
      </c>
      <c r="AC207" s="68">
        <v>0</v>
      </c>
      <c r="AD207" s="68">
        <v>0</v>
      </c>
      <c r="AE207" s="68">
        <v>0</v>
      </c>
      <c r="AF207" s="68">
        <v>0</v>
      </c>
      <c r="AG207" s="68">
        <v>0</v>
      </c>
      <c r="AH207" s="68">
        <v>0</v>
      </c>
      <c r="AI207" s="68">
        <v>0</v>
      </c>
      <c r="AJ207" s="68">
        <v>0</v>
      </c>
      <c r="AK207" s="68">
        <v>0</v>
      </c>
      <c r="AL207" s="68">
        <v>0</v>
      </c>
      <c r="AM207" s="68">
        <v>0</v>
      </c>
      <c r="AN207" s="68">
        <v>0</v>
      </c>
      <c r="AO207" s="68">
        <v>0</v>
      </c>
      <c r="AP207" s="68">
        <v>0</v>
      </c>
      <c r="AQ207" s="68">
        <v>0</v>
      </c>
      <c r="AR207" s="68">
        <v>0</v>
      </c>
      <c r="AS207" s="68">
        <v>0</v>
      </c>
      <c r="AT207" s="68">
        <v>0</v>
      </c>
      <c r="AU207" s="68">
        <v>0</v>
      </c>
      <c r="AV207" s="68">
        <v>0</v>
      </c>
      <c r="AW207" s="68">
        <v>0</v>
      </c>
      <c r="AX207" s="68">
        <v>0</v>
      </c>
      <c r="AY207" s="68">
        <v>0</v>
      </c>
      <c r="AZ207" s="68">
        <v>0</v>
      </c>
      <c r="BA207" s="68">
        <v>0</v>
      </c>
      <c r="BB207" s="68">
        <v>0</v>
      </c>
      <c r="BC207" s="68">
        <v>0</v>
      </c>
      <c r="BD207" s="68">
        <v>0</v>
      </c>
      <c r="BE207" s="68">
        <v>0</v>
      </c>
      <c r="BF207" s="68">
        <v>0</v>
      </c>
      <c r="BG207" s="68">
        <v>1</v>
      </c>
      <c r="BH207" s="68">
        <v>0</v>
      </c>
      <c r="BI207" s="68">
        <v>0</v>
      </c>
      <c r="BJ207" s="68">
        <v>0</v>
      </c>
      <c r="BK207" s="68">
        <v>0</v>
      </c>
      <c r="BL207" s="68">
        <v>0</v>
      </c>
      <c r="BM207" s="68">
        <v>0</v>
      </c>
      <c r="BN207" s="68">
        <v>1</v>
      </c>
      <c r="BO207"/>
      <c r="BP207"/>
      <c r="BQ207"/>
      <c r="BR207"/>
      <c r="BS207"/>
      <c r="BT207"/>
    </row>
    <row r="208" spans="1:127" x14ac:dyDescent="0.25">
      <c r="A208" s="74"/>
      <c r="B208" s="74"/>
      <c r="C208" s="66" t="s">
        <v>74</v>
      </c>
      <c r="D208" s="68">
        <v>0</v>
      </c>
      <c r="E208" s="68">
        <v>0</v>
      </c>
      <c r="F208" s="68">
        <v>0</v>
      </c>
      <c r="G208" s="68">
        <v>0</v>
      </c>
      <c r="H208" s="68">
        <v>0</v>
      </c>
      <c r="I208" s="68">
        <v>0</v>
      </c>
      <c r="J208" s="68">
        <v>0</v>
      </c>
      <c r="K208" s="68">
        <v>0</v>
      </c>
      <c r="L208" s="68">
        <v>0</v>
      </c>
      <c r="M208" s="68">
        <v>0</v>
      </c>
      <c r="N208" s="68">
        <v>0</v>
      </c>
      <c r="O208" s="68">
        <v>0</v>
      </c>
      <c r="P208" s="68">
        <v>0</v>
      </c>
      <c r="Q208" s="68">
        <v>0</v>
      </c>
      <c r="R208" s="68">
        <v>0</v>
      </c>
      <c r="S208" s="68">
        <v>0</v>
      </c>
      <c r="T208" s="68">
        <v>0</v>
      </c>
      <c r="U208" s="68">
        <v>0</v>
      </c>
      <c r="V208" s="68">
        <v>0</v>
      </c>
      <c r="W208" s="68">
        <v>0</v>
      </c>
      <c r="X208" s="68">
        <v>0</v>
      </c>
      <c r="Y208" s="68">
        <v>0</v>
      </c>
      <c r="Z208" s="68">
        <v>0</v>
      </c>
      <c r="AA208" s="68">
        <v>0</v>
      </c>
      <c r="AB208" s="68">
        <v>0</v>
      </c>
      <c r="AC208" s="68">
        <v>0</v>
      </c>
      <c r="AD208" s="68">
        <v>0</v>
      </c>
      <c r="AE208" s="68">
        <v>0</v>
      </c>
      <c r="AF208" s="68">
        <v>0</v>
      </c>
      <c r="AG208" s="68">
        <v>0</v>
      </c>
      <c r="AH208" s="68">
        <v>0</v>
      </c>
      <c r="AI208" s="68">
        <v>0</v>
      </c>
      <c r="AJ208" s="68">
        <v>0</v>
      </c>
      <c r="AK208" s="68">
        <v>0</v>
      </c>
      <c r="AL208" s="68">
        <v>0</v>
      </c>
      <c r="AM208" s="68">
        <v>0</v>
      </c>
      <c r="AN208" s="68">
        <v>0</v>
      </c>
      <c r="AO208" s="68">
        <v>0</v>
      </c>
      <c r="AP208" s="68">
        <v>0</v>
      </c>
      <c r="AQ208" s="68">
        <v>0</v>
      </c>
      <c r="AR208" s="68">
        <v>0</v>
      </c>
      <c r="AS208" s="68">
        <v>0</v>
      </c>
      <c r="AT208" s="68">
        <v>0</v>
      </c>
      <c r="AU208" s="68">
        <v>0</v>
      </c>
      <c r="AV208" s="68">
        <v>0</v>
      </c>
      <c r="AW208" s="68">
        <v>0</v>
      </c>
      <c r="AX208" s="68">
        <v>0</v>
      </c>
      <c r="AY208" s="68">
        <v>0</v>
      </c>
      <c r="AZ208" s="68">
        <v>0</v>
      </c>
      <c r="BA208" s="68">
        <v>0</v>
      </c>
      <c r="BB208" s="68">
        <v>0</v>
      </c>
      <c r="BC208" s="68">
        <v>0</v>
      </c>
      <c r="BD208" s="68">
        <v>0</v>
      </c>
      <c r="BE208" s="68">
        <v>0</v>
      </c>
      <c r="BF208" s="68">
        <v>0</v>
      </c>
      <c r="BG208" s="68">
        <v>0</v>
      </c>
      <c r="BH208" s="68">
        <v>1</v>
      </c>
      <c r="BI208" s="68">
        <v>0</v>
      </c>
      <c r="BJ208" s="68">
        <v>0</v>
      </c>
      <c r="BK208" s="68">
        <v>0</v>
      </c>
      <c r="BL208" s="68">
        <v>0</v>
      </c>
      <c r="BM208" s="68">
        <v>0</v>
      </c>
      <c r="BN208" s="68">
        <v>1</v>
      </c>
      <c r="BO208"/>
      <c r="BP208"/>
      <c r="BQ208"/>
      <c r="BR208"/>
      <c r="BS208"/>
      <c r="BT208"/>
    </row>
    <row r="209" spans="1:72" x14ac:dyDescent="0.25">
      <c r="A209" s="74"/>
      <c r="B209" s="74"/>
      <c r="C209" s="66" t="s">
        <v>75</v>
      </c>
      <c r="D209" s="68">
        <v>0</v>
      </c>
      <c r="E209" s="68">
        <v>0</v>
      </c>
      <c r="F209" s="68">
        <v>0</v>
      </c>
      <c r="G209" s="68">
        <v>0</v>
      </c>
      <c r="H209" s="68">
        <v>0</v>
      </c>
      <c r="I209" s="68">
        <v>0</v>
      </c>
      <c r="J209" s="68">
        <v>0</v>
      </c>
      <c r="K209" s="68">
        <v>0</v>
      </c>
      <c r="L209" s="68">
        <v>0</v>
      </c>
      <c r="M209" s="68">
        <v>0</v>
      </c>
      <c r="N209" s="68">
        <v>0</v>
      </c>
      <c r="O209" s="68">
        <v>0</v>
      </c>
      <c r="P209" s="68">
        <v>0</v>
      </c>
      <c r="Q209" s="68">
        <v>0</v>
      </c>
      <c r="R209" s="68">
        <v>0</v>
      </c>
      <c r="S209" s="68">
        <v>0</v>
      </c>
      <c r="T209" s="68">
        <v>0</v>
      </c>
      <c r="U209" s="68">
        <v>0</v>
      </c>
      <c r="V209" s="68">
        <v>0</v>
      </c>
      <c r="W209" s="68">
        <v>0</v>
      </c>
      <c r="X209" s="68">
        <v>0</v>
      </c>
      <c r="Y209" s="68">
        <v>0</v>
      </c>
      <c r="Z209" s="68">
        <v>0</v>
      </c>
      <c r="AA209" s="68">
        <v>0</v>
      </c>
      <c r="AB209" s="68">
        <v>0</v>
      </c>
      <c r="AC209" s="68">
        <v>0</v>
      </c>
      <c r="AD209" s="68">
        <v>0</v>
      </c>
      <c r="AE209" s="68">
        <v>0</v>
      </c>
      <c r="AF209" s="68">
        <v>0</v>
      </c>
      <c r="AG209" s="68">
        <v>0</v>
      </c>
      <c r="AH209" s="68">
        <v>0</v>
      </c>
      <c r="AI209" s="68">
        <v>0</v>
      </c>
      <c r="AJ209" s="68">
        <v>0</v>
      </c>
      <c r="AK209" s="68">
        <v>0</v>
      </c>
      <c r="AL209" s="68">
        <v>0</v>
      </c>
      <c r="AM209" s="68">
        <v>0</v>
      </c>
      <c r="AN209" s="68">
        <v>0</v>
      </c>
      <c r="AO209" s="68">
        <v>0</v>
      </c>
      <c r="AP209" s="68">
        <v>0</v>
      </c>
      <c r="AQ209" s="68">
        <v>0</v>
      </c>
      <c r="AR209" s="68">
        <v>0</v>
      </c>
      <c r="AS209" s="68">
        <v>0</v>
      </c>
      <c r="AT209" s="68">
        <v>0</v>
      </c>
      <c r="AU209" s="68">
        <v>0</v>
      </c>
      <c r="AV209" s="68">
        <v>0</v>
      </c>
      <c r="AW209" s="68">
        <v>0</v>
      </c>
      <c r="AX209" s="68">
        <v>0</v>
      </c>
      <c r="AY209" s="68">
        <v>0</v>
      </c>
      <c r="AZ209" s="68">
        <v>0</v>
      </c>
      <c r="BA209" s="68">
        <v>0</v>
      </c>
      <c r="BB209" s="68">
        <v>0</v>
      </c>
      <c r="BC209" s="68">
        <v>0</v>
      </c>
      <c r="BD209" s="68">
        <v>0</v>
      </c>
      <c r="BE209" s="68">
        <v>0</v>
      </c>
      <c r="BF209" s="68">
        <v>0</v>
      </c>
      <c r="BG209" s="68">
        <v>0</v>
      </c>
      <c r="BH209" s="68">
        <v>0</v>
      </c>
      <c r="BI209" s="68">
        <v>1</v>
      </c>
      <c r="BJ209" s="68">
        <v>0</v>
      </c>
      <c r="BK209" s="68">
        <v>0</v>
      </c>
      <c r="BL209" s="68">
        <v>0</v>
      </c>
      <c r="BM209" s="68">
        <v>0</v>
      </c>
      <c r="BN209" s="68">
        <v>1</v>
      </c>
      <c r="BO209"/>
      <c r="BP209"/>
      <c r="BQ209"/>
      <c r="BR209"/>
      <c r="BS209"/>
      <c r="BT209"/>
    </row>
    <row r="210" spans="1:72" x14ac:dyDescent="0.25">
      <c r="A210" s="74"/>
      <c r="B210" s="74"/>
      <c r="C210" s="66" t="s">
        <v>76</v>
      </c>
      <c r="D210" s="68">
        <v>0</v>
      </c>
      <c r="E210" s="68">
        <v>0</v>
      </c>
      <c r="F210" s="68">
        <v>0</v>
      </c>
      <c r="G210" s="68">
        <v>0</v>
      </c>
      <c r="H210" s="68">
        <v>0</v>
      </c>
      <c r="I210" s="68">
        <v>0</v>
      </c>
      <c r="J210" s="68">
        <v>0</v>
      </c>
      <c r="K210" s="68">
        <v>0</v>
      </c>
      <c r="L210" s="68">
        <v>0</v>
      </c>
      <c r="M210" s="68">
        <v>0</v>
      </c>
      <c r="N210" s="68">
        <v>0</v>
      </c>
      <c r="O210" s="68">
        <v>0</v>
      </c>
      <c r="P210" s="68">
        <v>0</v>
      </c>
      <c r="Q210" s="68">
        <v>0</v>
      </c>
      <c r="R210" s="68">
        <v>0</v>
      </c>
      <c r="S210" s="68">
        <v>0</v>
      </c>
      <c r="T210" s="68">
        <v>0</v>
      </c>
      <c r="U210" s="68">
        <v>0</v>
      </c>
      <c r="V210" s="68">
        <v>0</v>
      </c>
      <c r="W210" s="68">
        <v>0</v>
      </c>
      <c r="X210" s="68">
        <v>0</v>
      </c>
      <c r="Y210" s="68">
        <v>0</v>
      </c>
      <c r="Z210" s="68">
        <v>0</v>
      </c>
      <c r="AA210" s="68">
        <v>0</v>
      </c>
      <c r="AB210" s="68">
        <v>0</v>
      </c>
      <c r="AC210" s="68">
        <v>0</v>
      </c>
      <c r="AD210" s="68">
        <v>0</v>
      </c>
      <c r="AE210" s="68">
        <v>0</v>
      </c>
      <c r="AF210" s="68">
        <v>0</v>
      </c>
      <c r="AG210" s="68">
        <v>0</v>
      </c>
      <c r="AH210" s="68">
        <v>0</v>
      </c>
      <c r="AI210" s="68">
        <v>0</v>
      </c>
      <c r="AJ210" s="68">
        <v>0</v>
      </c>
      <c r="AK210" s="68">
        <v>0</v>
      </c>
      <c r="AL210" s="68">
        <v>0</v>
      </c>
      <c r="AM210" s="68">
        <v>0</v>
      </c>
      <c r="AN210" s="68">
        <v>0</v>
      </c>
      <c r="AO210" s="68">
        <v>0</v>
      </c>
      <c r="AP210" s="68">
        <v>0</v>
      </c>
      <c r="AQ210" s="68">
        <v>0</v>
      </c>
      <c r="AR210" s="68">
        <v>0</v>
      </c>
      <c r="AS210" s="68">
        <v>0</v>
      </c>
      <c r="AT210" s="68">
        <v>0</v>
      </c>
      <c r="AU210" s="68">
        <v>0</v>
      </c>
      <c r="AV210" s="68">
        <v>0</v>
      </c>
      <c r="AW210" s="68">
        <v>0</v>
      </c>
      <c r="AX210" s="68">
        <v>0</v>
      </c>
      <c r="AY210" s="68">
        <v>0</v>
      </c>
      <c r="AZ210" s="68">
        <v>0</v>
      </c>
      <c r="BA210" s="68">
        <v>0</v>
      </c>
      <c r="BB210" s="68">
        <v>0</v>
      </c>
      <c r="BC210" s="68">
        <v>0</v>
      </c>
      <c r="BD210" s="68">
        <v>0</v>
      </c>
      <c r="BE210" s="68">
        <v>0</v>
      </c>
      <c r="BF210" s="68">
        <v>0</v>
      </c>
      <c r="BG210" s="68">
        <v>0</v>
      </c>
      <c r="BH210" s="68">
        <v>0</v>
      </c>
      <c r="BI210" s="68">
        <v>0</v>
      </c>
      <c r="BJ210" s="68">
        <v>1</v>
      </c>
      <c r="BK210" s="68">
        <v>0</v>
      </c>
      <c r="BL210" s="68">
        <v>0</v>
      </c>
      <c r="BM210" s="68">
        <v>0</v>
      </c>
      <c r="BN210" s="68">
        <v>1</v>
      </c>
    </row>
    <row r="211" spans="1:72" x14ac:dyDescent="0.25">
      <c r="A211" s="74"/>
      <c r="B211" s="75" t="s">
        <v>210</v>
      </c>
      <c r="C211" s="74"/>
      <c r="D211" s="68">
        <v>0</v>
      </c>
      <c r="E211" s="68">
        <v>0</v>
      </c>
      <c r="F211" s="68">
        <v>0</v>
      </c>
      <c r="G211" s="68">
        <v>0</v>
      </c>
      <c r="H211" s="68">
        <v>0</v>
      </c>
      <c r="I211" s="68">
        <v>0</v>
      </c>
      <c r="J211" s="68">
        <v>0</v>
      </c>
      <c r="K211" s="68">
        <v>0</v>
      </c>
      <c r="L211" s="68">
        <v>0</v>
      </c>
      <c r="M211" s="68">
        <v>0</v>
      </c>
      <c r="N211" s="68">
        <v>0</v>
      </c>
      <c r="O211" s="68">
        <v>0</v>
      </c>
      <c r="P211" s="68">
        <v>0</v>
      </c>
      <c r="Q211" s="68">
        <v>0</v>
      </c>
      <c r="R211" s="68">
        <v>0</v>
      </c>
      <c r="S211" s="68">
        <v>0</v>
      </c>
      <c r="T211" s="68">
        <v>0</v>
      </c>
      <c r="U211" s="68">
        <v>0</v>
      </c>
      <c r="V211" s="68">
        <v>0</v>
      </c>
      <c r="W211" s="68">
        <v>0</v>
      </c>
      <c r="X211" s="68">
        <v>0</v>
      </c>
      <c r="Y211" s="68">
        <v>0</v>
      </c>
      <c r="Z211" s="68">
        <v>0</v>
      </c>
      <c r="AA211" s="68">
        <v>0</v>
      </c>
      <c r="AB211" s="68">
        <v>0</v>
      </c>
      <c r="AC211" s="68">
        <v>0</v>
      </c>
      <c r="AD211" s="68">
        <v>0</v>
      </c>
      <c r="AE211" s="68">
        <v>0</v>
      </c>
      <c r="AF211" s="68">
        <v>0</v>
      </c>
      <c r="AG211" s="68">
        <v>0</v>
      </c>
      <c r="AH211" s="68">
        <v>0</v>
      </c>
      <c r="AI211" s="68">
        <v>0</v>
      </c>
      <c r="AJ211" s="68">
        <v>0</v>
      </c>
      <c r="AK211" s="68">
        <v>0</v>
      </c>
      <c r="AL211" s="68">
        <v>0</v>
      </c>
      <c r="AM211" s="68">
        <v>0</v>
      </c>
      <c r="AN211" s="68">
        <v>0</v>
      </c>
      <c r="AO211" s="68">
        <v>0</v>
      </c>
      <c r="AP211" s="68">
        <v>0</v>
      </c>
      <c r="AQ211" s="68">
        <v>0</v>
      </c>
      <c r="AR211" s="68">
        <v>0</v>
      </c>
      <c r="AS211" s="68">
        <v>0</v>
      </c>
      <c r="AT211" s="68">
        <v>0</v>
      </c>
      <c r="AU211" s="68">
        <v>0</v>
      </c>
      <c r="AV211" s="68">
        <v>0</v>
      </c>
      <c r="AW211" s="68">
        <v>0</v>
      </c>
      <c r="AX211" s="68">
        <v>0</v>
      </c>
      <c r="AY211" s="68">
        <v>0</v>
      </c>
      <c r="AZ211" s="68">
        <v>0</v>
      </c>
      <c r="BA211" s="68">
        <v>0</v>
      </c>
      <c r="BB211" s="68">
        <v>0</v>
      </c>
      <c r="BC211" s="68">
        <v>1</v>
      </c>
      <c r="BD211" s="68">
        <v>1</v>
      </c>
      <c r="BE211" s="68">
        <v>1</v>
      </c>
      <c r="BF211" s="68">
        <v>1</v>
      </c>
      <c r="BG211" s="68">
        <v>1</v>
      </c>
      <c r="BH211" s="68">
        <v>1</v>
      </c>
      <c r="BI211" s="68">
        <v>1</v>
      </c>
      <c r="BJ211" s="68">
        <v>1</v>
      </c>
      <c r="BK211" s="68">
        <v>1</v>
      </c>
      <c r="BL211" s="68">
        <v>1</v>
      </c>
      <c r="BM211" s="68">
        <v>1</v>
      </c>
      <c r="BN211" s="68">
        <v>11</v>
      </c>
    </row>
    <row r="212" spans="1:72" x14ac:dyDescent="0.25">
      <c r="A212" s="75" t="s">
        <v>214</v>
      </c>
      <c r="B212" s="74"/>
      <c r="C212" s="74"/>
      <c r="D212" s="68">
        <v>0</v>
      </c>
      <c r="E212" s="68">
        <v>0</v>
      </c>
      <c r="F212" s="68">
        <v>0</v>
      </c>
      <c r="G212" s="68">
        <v>0</v>
      </c>
      <c r="H212" s="68">
        <v>0</v>
      </c>
      <c r="I212" s="68">
        <v>0</v>
      </c>
      <c r="J212" s="68">
        <v>0</v>
      </c>
      <c r="K212" s="68">
        <v>0</v>
      </c>
      <c r="L212" s="68">
        <v>0</v>
      </c>
      <c r="M212" s="68">
        <v>0</v>
      </c>
      <c r="N212" s="68">
        <v>0</v>
      </c>
      <c r="O212" s="68">
        <v>0</v>
      </c>
      <c r="P212" s="68">
        <v>0</v>
      </c>
      <c r="Q212" s="68">
        <v>0</v>
      </c>
      <c r="R212" s="68">
        <v>0</v>
      </c>
      <c r="S212" s="68">
        <v>0</v>
      </c>
      <c r="T212" s="68">
        <v>0</v>
      </c>
      <c r="U212" s="68">
        <v>0</v>
      </c>
      <c r="V212" s="68">
        <v>0</v>
      </c>
      <c r="W212" s="68">
        <v>0</v>
      </c>
      <c r="X212" s="68">
        <v>0</v>
      </c>
      <c r="Y212" s="68">
        <v>0</v>
      </c>
      <c r="Z212" s="68">
        <v>0</v>
      </c>
      <c r="AA212" s="68">
        <v>0</v>
      </c>
      <c r="AB212" s="68">
        <v>0</v>
      </c>
      <c r="AC212" s="68">
        <v>0</v>
      </c>
      <c r="AD212" s="68">
        <v>0</v>
      </c>
      <c r="AE212" s="68">
        <v>0</v>
      </c>
      <c r="AF212" s="68">
        <v>0</v>
      </c>
      <c r="AG212" s="68">
        <v>0</v>
      </c>
      <c r="AH212" s="68">
        <v>0</v>
      </c>
      <c r="AI212" s="68">
        <v>0</v>
      </c>
      <c r="AJ212" s="68">
        <v>0</v>
      </c>
      <c r="AK212" s="68">
        <v>0</v>
      </c>
      <c r="AL212" s="68">
        <v>0</v>
      </c>
      <c r="AM212" s="68">
        <v>0</v>
      </c>
      <c r="AN212" s="68">
        <v>0</v>
      </c>
      <c r="AO212" s="68">
        <v>0</v>
      </c>
      <c r="AP212" s="68">
        <v>0</v>
      </c>
      <c r="AQ212" s="68">
        <v>0</v>
      </c>
      <c r="AR212" s="68">
        <v>0</v>
      </c>
      <c r="AS212" s="68">
        <v>0</v>
      </c>
      <c r="AT212" s="68">
        <v>0</v>
      </c>
      <c r="AU212" s="68">
        <v>0</v>
      </c>
      <c r="AV212" s="68">
        <v>0</v>
      </c>
      <c r="AW212" s="68">
        <v>0</v>
      </c>
      <c r="AX212" s="68">
        <v>0</v>
      </c>
      <c r="AY212" s="68">
        <v>0</v>
      </c>
      <c r="AZ212" s="68">
        <v>0</v>
      </c>
      <c r="BA212" s="68">
        <v>0</v>
      </c>
      <c r="BB212" s="68">
        <v>0</v>
      </c>
      <c r="BC212" s="68">
        <v>1</v>
      </c>
      <c r="BD212" s="68">
        <v>1</v>
      </c>
      <c r="BE212" s="68">
        <v>1</v>
      </c>
      <c r="BF212" s="68">
        <v>1</v>
      </c>
      <c r="BG212" s="68">
        <v>1</v>
      </c>
      <c r="BH212" s="68">
        <v>1</v>
      </c>
      <c r="BI212" s="68">
        <v>1</v>
      </c>
      <c r="BJ212" s="68">
        <v>1</v>
      </c>
      <c r="BK212" s="68">
        <v>1</v>
      </c>
      <c r="BL212" s="68">
        <v>1</v>
      </c>
      <c r="BM212" s="68">
        <v>1</v>
      </c>
      <c r="BN212" s="68">
        <v>11</v>
      </c>
    </row>
    <row r="213" spans="1:72" x14ac:dyDescent="0.25">
      <c r="A213" s="75" t="s">
        <v>77</v>
      </c>
      <c r="B213" s="75" t="s">
        <v>5</v>
      </c>
      <c r="C213" s="66" t="s">
        <v>78</v>
      </c>
      <c r="D213" s="68">
        <v>0</v>
      </c>
      <c r="E213" s="68">
        <v>0</v>
      </c>
      <c r="F213" s="68">
        <v>0</v>
      </c>
      <c r="G213" s="68">
        <v>0</v>
      </c>
      <c r="H213" s="68">
        <v>0</v>
      </c>
      <c r="I213" s="68">
        <v>0</v>
      </c>
      <c r="J213" s="68">
        <v>0</v>
      </c>
      <c r="K213" s="68">
        <v>0</v>
      </c>
      <c r="L213" s="68">
        <v>0</v>
      </c>
      <c r="M213" s="68">
        <v>0</v>
      </c>
      <c r="N213" s="68">
        <v>0</v>
      </c>
      <c r="O213" s="68">
        <v>0</v>
      </c>
      <c r="P213" s="68">
        <v>0</v>
      </c>
      <c r="Q213" s="68">
        <v>0</v>
      </c>
      <c r="R213" s="68">
        <v>0</v>
      </c>
      <c r="S213" s="68">
        <v>0</v>
      </c>
      <c r="T213" s="68">
        <v>0</v>
      </c>
      <c r="U213" s="68">
        <v>0</v>
      </c>
      <c r="V213" s="68">
        <v>0</v>
      </c>
      <c r="W213" s="68">
        <v>0</v>
      </c>
      <c r="X213" s="68">
        <v>0</v>
      </c>
      <c r="Y213" s="68">
        <v>0</v>
      </c>
      <c r="Z213" s="68">
        <v>0</v>
      </c>
      <c r="AA213" s="68">
        <v>0</v>
      </c>
      <c r="AB213" s="68">
        <v>0</v>
      </c>
      <c r="AC213" s="68">
        <v>0</v>
      </c>
      <c r="AD213" s="68">
        <v>0</v>
      </c>
      <c r="AE213" s="68">
        <v>0</v>
      </c>
      <c r="AF213" s="68">
        <v>0</v>
      </c>
      <c r="AG213" s="68">
        <v>0</v>
      </c>
      <c r="AH213" s="68">
        <v>0</v>
      </c>
      <c r="AI213" s="68">
        <v>0</v>
      </c>
      <c r="AJ213" s="68">
        <v>0</v>
      </c>
      <c r="AK213" s="68">
        <v>0</v>
      </c>
      <c r="AL213" s="68">
        <v>0</v>
      </c>
      <c r="AM213" s="68">
        <v>0</v>
      </c>
      <c r="AN213" s="68">
        <v>0</v>
      </c>
      <c r="AO213" s="68">
        <v>0</v>
      </c>
      <c r="AP213" s="68">
        <v>0</v>
      </c>
      <c r="AQ213" s="68">
        <v>0</v>
      </c>
      <c r="AR213" s="68">
        <v>0</v>
      </c>
      <c r="AS213" s="68">
        <v>0</v>
      </c>
      <c r="AT213" s="68">
        <v>0</v>
      </c>
      <c r="AU213" s="68">
        <v>0</v>
      </c>
      <c r="AV213" s="68">
        <v>0</v>
      </c>
      <c r="AW213" s="68">
        <v>0</v>
      </c>
      <c r="AX213" s="68">
        <v>1</v>
      </c>
      <c r="AY213" s="68">
        <v>0</v>
      </c>
      <c r="AZ213" s="68">
        <v>0</v>
      </c>
      <c r="BA213" s="68">
        <v>0</v>
      </c>
      <c r="BB213" s="68">
        <v>0</v>
      </c>
      <c r="BC213" s="68">
        <v>0</v>
      </c>
      <c r="BD213" s="68">
        <v>0</v>
      </c>
      <c r="BE213" s="68">
        <v>0</v>
      </c>
      <c r="BF213" s="68">
        <v>0</v>
      </c>
      <c r="BG213" s="68">
        <v>0</v>
      </c>
      <c r="BH213" s="68">
        <v>0</v>
      </c>
      <c r="BI213" s="68">
        <v>0</v>
      </c>
      <c r="BJ213" s="68">
        <v>0</v>
      </c>
      <c r="BK213" s="68">
        <v>0</v>
      </c>
      <c r="BL213" s="68">
        <v>0</v>
      </c>
      <c r="BM213" s="68">
        <v>0</v>
      </c>
      <c r="BN213" s="68">
        <v>1</v>
      </c>
    </row>
    <row r="214" spans="1:72" x14ac:dyDescent="0.25">
      <c r="A214" s="74"/>
      <c r="B214" s="74"/>
      <c r="C214" s="66" t="s">
        <v>79</v>
      </c>
      <c r="D214" s="68">
        <v>0</v>
      </c>
      <c r="E214" s="68">
        <v>0</v>
      </c>
      <c r="F214" s="68">
        <v>0</v>
      </c>
      <c r="G214" s="68">
        <v>0</v>
      </c>
      <c r="H214" s="68">
        <v>0</v>
      </c>
      <c r="I214" s="68">
        <v>0</v>
      </c>
      <c r="J214" s="68">
        <v>0</v>
      </c>
      <c r="K214" s="68">
        <v>0</v>
      </c>
      <c r="L214" s="68">
        <v>0</v>
      </c>
      <c r="M214" s="68">
        <v>0</v>
      </c>
      <c r="N214" s="68">
        <v>0</v>
      </c>
      <c r="O214" s="68">
        <v>0</v>
      </c>
      <c r="P214" s="68">
        <v>0</v>
      </c>
      <c r="Q214" s="68">
        <v>0</v>
      </c>
      <c r="R214" s="68">
        <v>0</v>
      </c>
      <c r="S214" s="68">
        <v>0</v>
      </c>
      <c r="T214" s="68">
        <v>0</v>
      </c>
      <c r="U214" s="68">
        <v>0</v>
      </c>
      <c r="V214" s="68">
        <v>0</v>
      </c>
      <c r="W214" s="68">
        <v>0</v>
      </c>
      <c r="X214" s="68">
        <v>0</v>
      </c>
      <c r="Y214" s="68">
        <v>0</v>
      </c>
      <c r="Z214" s="68">
        <v>0</v>
      </c>
      <c r="AA214" s="68">
        <v>0</v>
      </c>
      <c r="AB214" s="68">
        <v>0</v>
      </c>
      <c r="AC214" s="68">
        <v>0</v>
      </c>
      <c r="AD214" s="68">
        <v>0</v>
      </c>
      <c r="AE214" s="68">
        <v>0</v>
      </c>
      <c r="AF214" s="68">
        <v>0</v>
      </c>
      <c r="AG214" s="68">
        <v>0</v>
      </c>
      <c r="AH214" s="68">
        <v>0</v>
      </c>
      <c r="AI214" s="68">
        <v>0</v>
      </c>
      <c r="AJ214" s="68">
        <v>0</v>
      </c>
      <c r="AK214" s="68">
        <v>0</v>
      </c>
      <c r="AL214" s="68">
        <v>0</v>
      </c>
      <c r="AM214" s="68">
        <v>0</v>
      </c>
      <c r="AN214" s="68">
        <v>0</v>
      </c>
      <c r="AO214" s="68">
        <v>0</v>
      </c>
      <c r="AP214" s="68">
        <v>0</v>
      </c>
      <c r="AQ214" s="68">
        <v>0</v>
      </c>
      <c r="AR214" s="68">
        <v>0</v>
      </c>
      <c r="AS214" s="68">
        <v>0</v>
      </c>
      <c r="AT214" s="68">
        <v>0</v>
      </c>
      <c r="AU214" s="68">
        <v>0</v>
      </c>
      <c r="AV214" s="68">
        <v>0</v>
      </c>
      <c r="AW214" s="68">
        <v>0</v>
      </c>
      <c r="AX214" s="68">
        <v>0</v>
      </c>
      <c r="AY214" s="68">
        <v>1</v>
      </c>
      <c r="AZ214" s="68">
        <v>0</v>
      </c>
      <c r="BA214" s="68">
        <v>0</v>
      </c>
      <c r="BB214" s="68">
        <v>0</v>
      </c>
      <c r="BC214" s="68">
        <v>0</v>
      </c>
      <c r="BD214" s="68">
        <v>0</v>
      </c>
      <c r="BE214" s="68">
        <v>0</v>
      </c>
      <c r="BF214" s="68">
        <v>0</v>
      </c>
      <c r="BG214" s="68">
        <v>0</v>
      </c>
      <c r="BH214" s="68">
        <v>0</v>
      </c>
      <c r="BI214" s="68">
        <v>0</v>
      </c>
      <c r="BJ214" s="68">
        <v>0</v>
      </c>
      <c r="BK214" s="68">
        <v>0</v>
      </c>
      <c r="BL214" s="68">
        <v>0</v>
      </c>
      <c r="BM214" s="68">
        <v>0</v>
      </c>
      <c r="BN214" s="68">
        <v>1</v>
      </c>
    </row>
    <row r="215" spans="1:72" x14ac:dyDescent="0.25">
      <c r="A215" s="74"/>
      <c r="B215" s="74"/>
      <c r="C215" s="66" t="s">
        <v>80</v>
      </c>
      <c r="D215" s="68">
        <v>0</v>
      </c>
      <c r="E215" s="68">
        <v>0</v>
      </c>
      <c r="F215" s="68">
        <v>0</v>
      </c>
      <c r="G215" s="68">
        <v>0</v>
      </c>
      <c r="H215" s="68">
        <v>0</v>
      </c>
      <c r="I215" s="68">
        <v>0</v>
      </c>
      <c r="J215" s="68">
        <v>0</v>
      </c>
      <c r="K215" s="68">
        <v>0</v>
      </c>
      <c r="L215" s="68">
        <v>0</v>
      </c>
      <c r="M215" s="68">
        <v>0</v>
      </c>
      <c r="N215" s="68">
        <v>0</v>
      </c>
      <c r="O215" s="68">
        <v>0</v>
      </c>
      <c r="P215" s="68">
        <v>0</v>
      </c>
      <c r="Q215" s="68">
        <v>0</v>
      </c>
      <c r="R215" s="68">
        <v>0</v>
      </c>
      <c r="S215" s="68">
        <v>0</v>
      </c>
      <c r="T215" s="68">
        <v>0</v>
      </c>
      <c r="U215" s="68">
        <v>0</v>
      </c>
      <c r="V215" s="68">
        <v>0</v>
      </c>
      <c r="W215" s="68">
        <v>0</v>
      </c>
      <c r="X215" s="68">
        <v>0</v>
      </c>
      <c r="Y215" s="68">
        <v>0</v>
      </c>
      <c r="Z215" s="68">
        <v>0</v>
      </c>
      <c r="AA215" s="68">
        <v>0</v>
      </c>
      <c r="AB215" s="68">
        <v>0</v>
      </c>
      <c r="AC215" s="68">
        <v>0</v>
      </c>
      <c r="AD215" s="68">
        <v>0</v>
      </c>
      <c r="AE215" s="68">
        <v>0</v>
      </c>
      <c r="AF215" s="68">
        <v>0</v>
      </c>
      <c r="AG215" s="68">
        <v>0</v>
      </c>
      <c r="AH215" s="68">
        <v>0</v>
      </c>
      <c r="AI215" s="68">
        <v>0</v>
      </c>
      <c r="AJ215" s="68">
        <v>0</v>
      </c>
      <c r="AK215" s="68">
        <v>0</v>
      </c>
      <c r="AL215" s="68">
        <v>0</v>
      </c>
      <c r="AM215" s="68">
        <v>0</v>
      </c>
      <c r="AN215" s="68">
        <v>0</v>
      </c>
      <c r="AO215" s="68">
        <v>0</v>
      </c>
      <c r="AP215" s="68">
        <v>0</v>
      </c>
      <c r="AQ215" s="68">
        <v>0</v>
      </c>
      <c r="AR215" s="68">
        <v>0</v>
      </c>
      <c r="AS215" s="68">
        <v>0</v>
      </c>
      <c r="AT215" s="68">
        <v>0</v>
      </c>
      <c r="AU215" s="68">
        <v>0</v>
      </c>
      <c r="AV215" s="68">
        <v>0</v>
      </c>
      <c r="AW215" s="68">
        <v>0</v>
      </c>
      <c r="AX215" s="68">
        <v>0</v>
      </c>
      <c r="AY215" s="68">
        <v>0</v>
      </c>
      <c r="AZ215" s="68">
        <v>1</v>
      </c>
      <c r="BA215" s="68">
        <v>0</v>
      </c>
      <c r="BB215" s="68">
        <v>0</v>
      </c>
      <c r="BC215" s="68">
        <v>0</v>
      </c>
      <c r="BD215" s="68">
        <v>0</v>
      </c>
      <c r="BE215" s="68">
        <v>0</v>
      </c>
      <c r="BF215" s="68">
        <v>0</v>
      </c>
      <c r="BG215" s="68">
        <v>0</v>
      </c>
      <c r="BH215" s="68">
        <v>0</v>
      </c>
      <c r="BI215" s="68">
        <v>0</v>
      </c>
      <c r="BJ215" s="68">
        <v>0</v>
      </c>
      <c r="BK215" s="68">
        <v>0</v>
      </c>
      <c r="BL215" s="68">
        <v>0</v>
      </c>
      <c r="BM215" s="68">
        <v>0</v>
      </c>
      <c r="BN215" s="68">
        <v>1</v>
      </c>
    </row>
    <row r="216" spans="1:72" x14ac:dyDescent="0.25">
      <c r="A216" s="74"/>
      <c r="B216" s="74"/>
      <c r="C216" s="66" t="s">
        <v>81</v>
      </c>
      <c r="D216" s="68">
        <v>0</v>
      </c>
      <c r="E216" s="68">
        <v>0</v>
      </c>
      <c r="F216" s="68">
        <v>0</v>
      </c>
      <c r="G216" s="68">
        <v>0</v>
      </c>
      <c r="H216" s="68">
        <v>0</v>
      </c>
      <c r="I216" s="68">
        <v>0</v>
      </c>
      <c r="J216" s="68">
        <v>0</v>
      </c>
      <c r="K216" s="68">
        <v>0</v>
      </c>
      <c r="L216" s="68">
        <v>0</v>
      </c>
      <c r="M216" s="68">
        <v>0</v>
      </c>
      <c r="N216" s="68">
        <v>0</v>
      </c>
      <c r="O216" s="68">
        <v>0</v>
      </c>
      <c r="P216" s="68">
        <v>0</v>
      </c>
      <c r="Q216" s="68">
        <v>0</v>
      </c>
      <c r="R216" s="68">
        <v>0</v>
      </c>
      <c r="S216" s="68">
        <v>0</v>
      </c>
      <c r="T216" s="68">
        <v>0</v>
      </c>
      <c r="U216" s="68">
        <v>0</v>
      </c>
      <c r="V216" s="68">
        <v>0</v>
      </c>
      <c r="W216" s="68">
        <v>0</v>
      </c>
      <c r="X216" s="68">
        <v>0</v>
      </c>
      <c r="Y216" s="68">
        <v>0</v>
      </c>
      <c r="Z216" s="68">
        <v>0</v>
      </c>
      <c r="AA216" s="68">
        <v>0</v>
      </c>
      <c r="AB216" s="68">
        <v>0</v>
      </c>
      <c r="AC216" s="68">
        <v>0</v>
      </c>
      <c r="AD216" s="68">
        <v>0</v>
      </c>
      <c r="AE216" s="68">
        <v>0</v>
      </c>
      <c r="AF216" s="68">
        <v>0</v>
      </c>
      <c r="AG216" s="68">
        <v>0</v>
      </c>
      <c r="AH216" s="68">
        <v>0</v>
      </c>
      <c r="AI216" s="68">
        <v>0</v>
      </c>
      <c r="AJ216" s="68">
        <v>0</v>
      </c>
      <c r="AK216" s="68">
        <v>0</v>
      </c>
      <c r="AL216" s="68">
        <v>0</v>
      </c>
      <c r="AM216" s="68">
        <v>0</v>
      </c>
      <c r="AN216" s="68">
        <v>0</v>
      </c>
      <c r="AO216" s="68">
        <v>0</v>
      </c>
      <c r="AP216" s="68">
        <v>0</v>
      </c>
      <c r="AQ216" s="68">
        <v>0</v>
      </c>
      <c r="AR216" s="68">
        <v>0</v>
      </c>
      <c r="AS216" s="68">
        <v>0</v>
      </c>
      <c r="AT216" s="68">
        <v>0</v>
      </c>
      <c r="AU216" s="68">
        <v>0</v>
      </c>
      <c r="AV216" s="68">
        <v>0</v>
      </c>
      <c r="AW216" s="68">
        <v>0</v>
      </c>
      <c r="AX216" s="68">
        <v>0</v>
      </c>
      <c r="AY216" s="68">
        <v>0</v>
      </c>
      <c r="AZ216" s="68">
        <v>0</v>
      </c>
      <c r="BA216" s="68">
        <v>1</v>
      </c>
      <c r="BB216" s="68">
        <v>0</v>
      </c>
      <c r="BC216" s="68">
        <v>0</v>
      </c>
      <c r="BD216" s="68">
        <v>0</v>
      </c>
      <c r="BE216" s="68">
        <v>0</v>
      </c>
      <c r="BF216" s="68">
        <v>0</v>
      </c>
      <c r="BG216" s="68">
        <v>0</v>
      </c>
      <c r="BH216" s="68">
        <v>0</v>
      </c>
      <c r="BI216" s="68">
        <v>0</v>
      </c>
      <c r="BJ216" s="68">
        <v>0</v>
      </c>
      <c r="BK216" s="68">
        <v>0</v>
      </c>
      <c r="BL216" s="68">
        <v>0</v>
      </c>
      <c r="BM216" s="68">
        <v>0</v>
      </c>
      <c r="BN216" s="68">
        <v>1</v>
      </c>
    </row>
    <row r="217" spans="1:72" x14ac:dyDescent="0.25">
      <c r="A217" s="74"/>
      <c r="B217" s="74"/>
      <c r="C217" s="66" t="s">
        <v>82</v>
      </c>
      <c r="D217" s="68">
        <v>0</v>
      </c>
      <c r="E217" s="68">
        <v>0</v>
      </c>
      <c r="F217" s="68">
        <v>0</v>
      </c>
      <c r="G217" s="68">
        <v>0</v>
      </c>
      <c r="H217" s="68">
        <v>0</v>
      </c>
      <c r="I217" s="68">
        <v>0</v>
      </c>
      <c r="J217" s="68">
        <v>0</v>
      </c>
      <c r="K217" s="68">
        <v>0</v>
      </c>
      <c r="L217" s="68">
        <v>0</v>
      </c>
      <c r="M217" s="68">
        <v>0</v>
      </c>
      <c r="N217" s="68">
        <v>0</v>
      </c>
      <c r="O217" s="68">
        <v>0</v>
      </c>
      <c r="P217" s="68">
        <v>0</v>
      </c>
      <c r="Q217" s="68">
        <v>0</v>
      </c>
      <c r="R217" s="68">
        <v>0</v>
      </c>
      <c r="S217" s="68">
        <v>0</v>
      </c>
      <c r="T217" s="68">
        <v>0</v>
      </c>
      <c r="U217" s="68">
        <v>0</v>
      </c>
      <c r="V217" s="68">
        <v>0</v>
      </c>
      <c r="W217" s="68">
        <v>0</v>
      </c>
      <c r="X217" s="68">
        <v>0</v>
      </c>
      <c r="Y217" s="68">
        <v>0</v>
      </c>
      <c r="Z217" s="68">
        <v>0</v>
      </c>
      <c r="AA217" s="68">
        <v>0</v>
      </c>
      <c r="AB217" s="68">
        <v>0</v>
      </c>
      <c r="AC217" s="68">
        <v>0</v>
      </c>
      <c r="AD217" s="68">
        <v>0</v>
      </c>
      <c r="AE217" s="68">
        <v>0</v>
      </c>
      <c r="AF217" s="68">
        <v>0</v>
      </c>
      <c r="AG217" s="68">
        <v>0</v>
      </c>
      <c r="AH217" s="68">
        <v>0</v>
      </c>
      <c r="AI217" s="68">
        <v>0</v>
      </c>
      <c r="AJ217" s="68">
        <v>0</v>
      </c>
      <c r="AK217" s="68">
        <v>0</v>
      </c>
      <c r="AL217" s="68">
        <v>0</v>
      </c>
      <c r="AM217" s="68">
        <v>0</v>
      </c>
      <c r="AN217" s="68">
        <v>0</v>
      </c>
      <c r="AO217" s="68">
        <v>0</v>
      </c>
      <c r="AP217" s="68">
        <v>0</v>
      </c>
      <c r="AQ217" s="68">
        <v>0</v>
      </c>
      <c r="AR217" s="68">
        <v>0</v>
      </c>
      <c r="AS217" s="68">
        <v>0</v>
      </c>
      <c r="AT217" s="68">
        <v>0</v>
      </c>
      <c r="AU217" s="68">
        <v>0</v>
      </c>
      <c r="AV217" s="68">
        <v>0</v>
      </c>
      <c r="AW217" s="68">
        <v>0</v>
      </c>
      <c r="AX217" s="68">
        <v>0</v>
      </c>
      <c r="AY217" s="68">
        <v>0</v>
      </c>
      <c r="AZ217" s="68">
        <v>0</v>
      </c>
      <c r="BA217" s="68">
        <v>0</v>
      </c>
      <c r="BB217" s="68">
        <v>1</v>
      </c>
      <c r="BC217" s="68">
        <v>0</v>
      </c>
      <c r="BD217" s="68">
        <v>0</v>
      </c>
      <c r="BE217" s="68">
        <v>0</v>
      </c>
      <c r="BF217" s="68">
        <v>0</v>
      </c>
      <c r="BG217" s="68">
        <v>0</v>
      </c>
      <c r="BH217" s="68">
        <v>0</v>
      </c>
      <c r="BI217" s="68">
        <v>0</v>
      </c>
      <c r="BJ217" s="68">
        <v>0</v>
      </c>
      <c r="BK217" s="68">
        <v>0</v>
      </c>
      <c r="BL217" s="68">
        <v>0</v>
      </c>
      <c r="BM217" s="68">
        <v>0</v>
      </c>
      <c r="BN217" s="68">
        <v>1</v>
      </c>
    </row>
    <row r="218" spans="1:72" x14ac:dyDescent="0.25">
      <c r="A218" s="74"/>
      <c r="B218" s="75" t="s">
        <v>211</v>
      </c>
      <c r="C218" s="74"/>
      <c r="D218" s="68">
        <v>0</v>
      </c>
      <c r="E218" s="68">
        <v>0</v>
      </c>
      <c r="F218" s="68">
        <v>0</v>
      </c>
      <c r="G218" s="68">
        <v>0</v>
      </c>
      <c r="H218" s="68">
        <v>0</v>
      </c>
      <c r="I218" s="68">
        <v>0</v>
      </c>
      <c r="J218" s="68">
        <v>0</v>
      </c>
      <c r="K218" s="68">
        <v>0</v>
      </c>
      <c r="L218" s="68">
        <v>0</v>
      </c>
      <c r="M218" s="68">
        <v>0</v>
      </c>
      <c r="N218" s="68">
        <v>0</v>
      </c>
      <c r="O218" s="68">
        <v>0</v>
      </c>
      <c r="P218" s="68">
        <v>0</v>
      </c>
      <c r="Q218" s="68">
        <v>0</v>
      </c>
      <c r="R218" s="68">
        <v>0</v>
      </c>
      <c r="S218" s="68">
        <v>0</v>
      </c>
      <c r="T218" s="68">
        <v>0</v>
      </c>
      <c r="U218" s="68">
        <v>0</v>
      </c>
      <c r="V218" s="68">
        <v>0</v>
      </c>
      <c r="W218" s="68">
        <v>0</v>
      </c>
      <c r="X218" s="68">
        <v>0</v>
      </c>
      <c r="Y218" s="68">
        <v>0</v>
      </c>
      <c r="Z218" s="68">
        <v>0</v>
      </c>
      <c r="AA218" s="68">
        <v>0</v>
      </c>
      <c r="AB218" s="68">
        <v>0</v>
      </c>
      <c r="AC218" s="68">
        <v>0</v>
      </c>
      <c r="AD218" s="68">
        <v>0</v>
      </c>
      <c r="AE218" s="68">
        <v>0</v>
      </c>
      <c r="AF218" s="68">
        <v>0</v>
      </c>
      <c r="AG218" s="68">
        <v>0</v>
      </c>
      <c r="AH218" s="68">
        <v>0</v>
      </c>
      <c r="AI218" s="68">
        <v>0</v>
      </c>
      <c r="AJ218" s="68">
        <v>0</v>
      </c>
      <c r="AK218" s="68">
        <v>0</v>
      </c>
      <c r="AL218" s="68">
        <v>0</v>
      </c>
      <c r="AM218" s="68">
        <v>0</v>
      </c>
      <c r="AN218" s="68">
        <v>0</v>
      </c>
      <c r="AO218" s="68">
        <v>0</v>
      </c>
      <c r="AP218" s="68">
        <v>0</v>
      </c>
      <c r="AQ218" s="68">
        <v>0</v>
      </c>
      <c r="AR218" s="68">
        <v>0</v>
      </c>
      <c r="AS218" s="68">
        <v>0</v>
      </c>
      <c r="AT218" s="68">
        <v>0</v>
      </c>
      <c r="AU218" s="68">
        <v>0</v>
      </c>
      <c r="AV218" s="68">
        <v>0</v>
      </c>
      <c r="AW218" s="68">
        <v>0</v>
      </c>
      <c r="AX218" s="68">
        <v>1</v>
      </c>
      <c r="AY218" s="68">
        <v>1</v>
      </c>
      <c r="AZ218" s="68">
        <v>1</v>
      </c>
      <c r="BA218" s="68">
        <v>1</v>
      </c>
      <c r="BB218" s="68">
        <v>1</v>
      </c>
      <c r="BC218" s="68">
        <v>0</v>
      </c>
      <c r="BD218" s="68">
        <v>0</v>
      </c>
      <c r="BE218" s="68">
        <v>0</v>
      </c>
      <c r="BF218" s="68">
        <v>0</v>
      </c>
      <c r="BG218" s="68">
        <v>0</v>
      </c>
      <c r="BH218" s="68">
        <v>0</v>
      </c>
      <c r="BI218" s="68">
        <v>0</v>
      </c>
      <c r="BJ218" s="68">
        <v>0</v>
      </c>
      <c r="BK218" s="68">
        <v>0</v>
      </c>
      <c r="BL218" s="68">
        <v>0</v>
      </c>
      <c r="BM218" s="68">
        <v>0</v>
      </c>
      <c r="BN218" s="68">
        <v>5</v>
      </c>
    </row>
    <row r="219" spans="1:72" x14ac:dyDescent="0.25">
      <c r="A219" s="75" t="s">
        <v>218</v>
      </c>
      <c r="B219" s="74"/>
      <c r="C219" s="74"/>
      <c r="D219" s="68">
        <v>0</v>
      </c>
      <c r="E219" s="68">
        <v>0</v>
      </c>
      <c r="F219" s="68">
        <v>0</v>
      </c>
      <c r="G219" s="68">
        <v>0</v>
      </c>
      <c r="H219" s="68">
        <v>0</v>
      </c>
      <c r="I219" s="68">
        <v>0</v>
      </c>
      <c r="J219" s="68">
        <v>0</v>
      </c>
      <c r="K219" s="68">
        <v>0</v>
      </c>
      <c r="L219" s="68">
        <v>0</v>
      </c>
      <c r="M219" s="68">
        <v>0</v>
      </c>
      <c r="N219" s="68">
        <v>0</v>
      </c>
      <c r="O219" s="68">
        <v>0</v>
      </c>
      <c r="P219" s="68">
        <v>0</v>
      </c>
      <c r="Q219" s="68">
        <v>0</v>
      </c>
      <c r="R219" s="68">
        <v>0</v>
      </c>
      <c r="S219" s="68">
        <v>0</v>
      </c>
      <c r="T219" s="68">
        <v>0</v>
      </c>
      <c r="U219" s="68">
        <v>0</v>
      </c>
      <c r="V219" s="68">
        <v>0</v>
      </c>
      <c r="W219" s="68">
        <v>0</v>
      </c>
      <c r="X219" s="68">
        <v>0</v>
      </c>
      <c r="Y219" s="68">
        <v>0</v>
      </c>
      <c r="Z219" s="68">
        <v>0</v>
      </c>
      <c r="AA219" s="68">
        <v>0</v>
      </c>
      <c r="AB219" s="68">
        <v>0</v>
      </c>
      <c r="AC219" s="68">
        <v>0</v>
      </c>
      <c r="AD219" s="68">
        <v>0</v>
      </c>
      <c r="AE219" s="68">
        <v>0</v>
      </c>
      <c r="AF219" s="68">
        <v>0</v>
      </c>
      <c r="AG219" s="68">
        <v>0</v>
      </c>
      <c r="AH219" s="68">
        <v>0</v>
      </c>
      <c r="AI219" s="68">
        <v>0</v>
      </c>
      <c r="AJ219" s="68">
        <v>0</v>
      </c>
      <c r="AK219" s="68">
        <v>0</v>
      </c>
      <c r="AL219" s="68">
        <v>0</v>
      </c>
      <c r="AM219" s="68">
        <v>0</v>
      </c>
      <c r="AN219" s="68">
        <v>0</v>
      </c>
      <c r="AO219" s="68">
        <v>0</v>
      </c>
      <c r="AP219" s="68">
        <v>0</v>
      </c>
      <c r="AQ219" s="68">
        <v>0</v>
      </c>
      <c r="AR219" s="68">
        <v>0</v>
      </c>
      <c r="AS219" s="68">
        <v>0</v>
      </c>
      <c r="AT219" s="68">
        <v>0</v>
      </c>
      <c r="AU219" s="68">
        <v>0</v>
      </c>
      <c r="AV219" s="68">
        <v>0</v>
      </c>
      <c r="AW219" s="68">
        <v>0</v>
      </c>
      <c r="AX219" s="68">
        <v>1</v>
      </c>
      <c r="AY219" s="68">
        <v>1</v>
      </c>
      <c r="AZ219" s="68">
        <v>1</v>
      </c>
      <c r="BA219" s="68">
        <v>1</v>
      </c>
      <c r="BB219" s="68">
        <v>1</v>
      </c>
      <c r="BC219" s="68">
        <v>0</v>
      </c>
      <c r="BD219" s="68">
        <v>0</v>
      </c>
      <c r="BE219" s="68">
        <v>0</v>
      </c>
      <c r="BF219" s="68">
        <v>0</v>
      </c>
      <c r="BG219" s="68">
        <v>0</v>
      </c>
      <c r="BH219" s="68">
        <v>0</v>
      </c>
      <c r="BI219" s="68">
        <v>0</v>
      </c>
      <c r="BJ219" s="68">
        <v>0</v>
      </c>
      <c r="BK219" s="68">
        <v>0</v>
      </c>
      <c r="BL219" s="68">
        <v>0</v>
      </c>
      <c r="BM219" s="68">
        <v>0</v>
      </c>
      <c r="BN219" s="68">
        <v>5</v>
      </c>
    </row>
    <row r="220" spans="1:72" x14ac:dyDescent="0.25">
      <c r="A220" s="75" t="s">
        <v>208</v>
      </c>
      <c r="B220" s="74"/>
      <c r="C220" s="74"/>
      <c r="D220" s="68">
        <v>1</v>
      </c>
      <c r="E220" s="68">
        <v>1</v>
      </c>
      <c r="F220" s="68">
        <v>1</v>
      </c>
      <c r="G220" s="68">
        <v>1</v>
      </c>
      <c r="H220" s="68">
        <v>1</v>
      </c>
      <c r="I220" s="68">
        <v>1</v>
      </c>
      <c r="J220" s="68">
        <v>1</v>
      </c>
      <c r="K220" s="68">
        <v>1</v>
      </c>
      <c r="L220" s="68">
        <v>1</v>
      </c>
      <c r="M220" s="68">
        <v>1</v>
      </c>
      <c r="N220" s="68">
        <v>1</v>
      </c>
      <c r="O220" s="68">
        <v>1</v>
      </c>
      <c r="P220" s="68">
        <v>1</v>
      </c>
      <c r="Q220" s="68">
        <v>1</v>
      </c>
      <c r="R220" s="68">
        <v>1</v>
      </c>
      <c r="S220" s="68">
        <v>1</v>
      </c>
      <c r="T220" s="68">
        <v>1</v>
      </c>
      <c r="U220" s="68">
        <v>1</v>
      </c>
      <c r="V220" s="68">
        <v>1</v>
      </c>
      <c r="W220" s="68">
        <v>1</v>
      </c>
      <c r="X220" s="68">
        <v>1</v>
      </c>
      <c r="Y220" s="68">
        <v>1</v>
      </c>
      <c r="Z220" s="68">
        <v>1</v>
      </c>
      <c r="AA220" s="68">
        <v>1</v>
      </c>
      <c r="AB220" s="68">
        <v>1</v>
      </c>
      <c r="AC220" s="68">
        <v>1</v>
      </c>
      <c r="AD220" s="68">
        <v>1</v>
      </c>
      <c r="AE220" s="68">
        <v>1</v>
      </c>
      <c r="AF220" s="68">
        <v>1</v>
      </c>
      <c r="AG220" s="68">
        <v>1</v>
      </c>
      <c r="AH220" s="68">
        <v>1</v>
      </c>
      <c r="AI220" s="68">
        <v>1</v>
      </c>
      <c r="AJ220" s="68">
        <v>1</v>
      </c>
      <c r="AK220" s="68">
        <v>1</v>
      </c>
      <c r="AL220" s="68">
        <v>1</v>
      </c>
      <c r="AM220" s="68">
        <v>1</v>
      </c>
      <c r="AN220" s="68">
        <v>1</v>
      </c>
      <c r="AO220" s="68">
        <v>1</v>
      </c>
      <c r="AP220" s="68">
        <v>1</v>
      </c>
      <c r="AQ220" s="68">
        <v>1</v>
      </c>
      <c r="AR220" s="68">
        <v>1</v>
      </c>
      <c r="AS220" s="68">
        <v>1</v>
      </c>
      <c r="AT220" s="68">
        <v>1</v>
      </c>
      <c r="AU220" s="68">
        <v>1</v>
      </c>
      <c r="AV220" s="68">
        <v>1</v>
      </c>
      <c r="AW220" s="68">
        <v>1</v>
      </c>
      <c r="AX220" s="68">
        <v>1</v>
      </c>
      <c r="AY220" s="68">
        <v>1</v>
      </c>
      <c r="AZ220" s="68">
        <v>1</v>
      </c>
      <c r="BA220" s="68">
        <v>1</v>
      </c>
      <c r="BB220" s="68">
        <v>1</v>
      </c>
      <c r="BC220" s="68">
        <v>1</v>
      </c>
      <c r="BD220" s="68">
        <v>1</v>
      </c>
      <c r="BE220" s="68">
        <v>1</v>
      </c>
      <c r="BF220" s="68">
        <v>1</v>
      </c>
      <c r="BG220" s="68">
        <v>1</v>
      </c>
      <c r="BH220" s="68">
        <v>1</v>
      </c>
      <c r="BI220" s="68">
        <v>1</v>
      </c>
      <c r="BJ220" s="68">
        <v>1</v>
      </c>
      <c r="BK220" s="68">
        <v>1</v>
      </c>
      <c r="BL220" s="68">
        <v>1</v>
      </c>
      <c r="BM220" s="68">
        <v>1</v>
      </c>
      <c r="BN220" s="68">
        <v>62</v>
      </c>
    </row>
    <row r="221" spans="1:72"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row>
    <row r="222" spans="1:72"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row>
    <row r="223" spans="1:72"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row>
    <row r="224" spans="1:72"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row>
    <row r="225" spans="1:66"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row>
    <row r="226" spans="1:66" x14ac:dyDescent="0.2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row>
    <row r="227" spans="1:66" x14ac:dyDescent="0.25">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row>
    <row r="228" spans="1:66" x14ac:dyDescent="0.2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row>
    <row r="229" spans="1:66" x14ac:dyDescent="0.25">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row>
    <row r="230" spans="1:66" x14ac:dyDescent="0.25">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row>
    <row r="231" spans="1:66" x14ac:dyDescent="0.25">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row>
    <row r="232" spans="1:66" x14ac:dyDescent="0.25">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row>
    <row r="233" spans="1:66" x14ac:dyDescent="0.25">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row>
    <row r="234" spans="1:66" x14ac:dyDescent="0.25">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row>
    <row r="235" spans="1:66" x14ac:dyDescent="0.25">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row>
    <row r="236" spans="1:66" x14ac:dyDescent="0.25">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row>
    <row r="237" spans="1:66" x14ac:dyDescent="0.25">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row>
    <row r="238" spans="1:66" x14ac:dyDescent="0.25">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row>
    <row r="239" spans="1:66" x14ac:dyDescent="0.25">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row>
    <row r="240" spans="1:66" x14ac:dyDescent="0.25">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row>
    <row r="241" spans="1:66" x14ac:dyDescent="0.25">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row>
    <row r="242" spans="1:66" x14ac:dyDescent="0.25">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row>
    <row r="243" spans="1:66" x14ac:dyDescent="0.25">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row>
    <row r="244" spans="1:66" x14ac:dyDescent="0.25">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row>
    <row r="245" spans="1:66" x14ac:dyDescent="0.25">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row>
    <row r="246" spans="1:66" x14ac:dyDescent="0.25">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row>
    <row r="247" spans="1:66" x14ac:dyDescent="0.25">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row>
    <row r="248" spans="1:66" x14ac:dyDescent="0.25">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row>
    <row r="249" spans="1:66" x14ac:dyDescent="0.25">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row>
    <row r="250" spans="1:66" x14ac:dyDescent="0.25">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row>
    <row r="251" spans="1:66" x14ac:dyDescent="0.25">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row>
    <row r="252" spans="1:66" x14ac:dyDescent="0.25">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row>
    <row r="253" spans="1:66" x14ac:dyDescent="0.25">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row>
    <row r="254" spans="1:66" x14ac:dyDescent="0.25">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row>
    <row r="255" spans="1:66" x14ac:dyDescent="0.25">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row>
    <row r="256" spans="1:66" x14ac:dyDescent="0.25">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row>
    <row r="257" spans="1:66" x14ac:dyDescent="0.25">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row>
    <row r="258" spans="1:66" x14ac:dyDescent="0.25">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row>
    <row r="259" spans="1:66" x14ac:dyDescent="0.25">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row>
    <row r="260" spans="1:66" x14ac:dyDescent="0.25">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row>
    <row r="261" spans="1:66" x14ac:dyDescent="0.25">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row>
    <row r="262" spans="1:66" x14ac:dyDescent="0.25">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row>
    <row r="263" spans="1:66" x14ac:dyDescent="0.25">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row>
    <row r="264" spans="1:66" x14ac:dyDescent="0.25">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row>
    <row r="265" spans="1:66" x14ac:dyDescent="0.25">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row>
    <row r="266" spans="1:66" x14ac:dyDescent="0.2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row>
    <row r="267" spans="1:66" x14ac:dyDescent="0.25">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row>
    <row r="268" spans="1:66" x14ac:dyDescent="0.25">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row>
    <row r="269" spans="1:66" x14ac:dyDescent="0.25">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row>
    <row r="270" spans="1:66" x14ac:dyDescent="0.25">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row>
    <row r="271" spans="1:66" x14ac:dyDescent="0.25">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row>
    <row r="272" spans="1:66" x14ac:dyDescent="0.25">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row>
    <row r="273" spans="1:66" x14ac:dyDescent="0.25">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row>
    <row r="274" spans="1:66" x14ac:dyDescent="0.25">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row>
    <row r="275" spans="1:66" x14ac:dyDescent="0.25">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row>
    <row r="276" spans="1:66" x14ac:dyDescent="0.25">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row>
    <row r="277" spans="1:66" x14ac:dyDescent="0.25">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row>
    <row r="278" spans="1:66" x14ac:dyDescent="0.25">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row>
    <row r="279" spans="1:66" x14ac:dyDescent="0.25">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row>
    <row r="280" spans="1:66" x14ac:dyDescent="0.25">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row>
    <row r="281" spans="1:66" x14ac:dyDescent="0.25">
      <c r="A281"/>
      <c r="B281"/>
      <c r="C281"/>
      <c r="D281"/>
      <c r="E281"/>
      <c r="F281"/>
    </row>
    <row r="282" spans="1:66" x14ac:dyDescent="0.25">
      <c r="A282"/>
      <c r="B282"/>
      <c r="C282"/>
      <c r="D282"/>
      <c r="E282"/>
      <c r="F282"/>
    </row>
    <row r="283" spans="1:66" x14ac:dyDescent="0.25">
      <c r="A283"/>
      <c r="B283"/>
      <c r="C283"/>
      <c r="D283"/>
      <c r="E283"/>
      <c r="F283"/>
    </row>
    <row r="284" spans="1:66" x14ac:dyDescent="0.25">
      <c r="A284"/>
      <c r="B284"/>
      <c r="C284"/>
      <c r="D284"/>
      <c r="E284"/>
      <c r="F284"/>
    </row>
    <row r="285" spans="1:66" x14ac:dyDescent="0.25">
      <c r="A285"/>
      <c r="B285"/>
      <c r="C285"/>
      <c r="D285"/>
      <c r="E285"/>
      <c r="F285"/>
    </row>
    <row r="286" spans="1:66" x14ac:dyDescent="0.25">
      <c r="A286"/>
      <c r="B286"/>
      <c r="C286"/>
      <c r="D286"/>
      <c r="E286"/>
      <c r="F286"/>
    </row>
    <row r="287" spans="1:66" x14ac:dyDescent="0.25">
      <c r="A287"/>
      <c r="B287"/>
      <c r="C287"/>
      <c r="D287"/>
      <c r="E287"/>
      <c r="F287"/>
    </row>
    <row r="288" spans="1:66" x14ac:dyDescent="0.25">
      <c r="A288"/>
      <c r="B288"/>
      <c r="C288"/>
      <c r="D288"/>
      <c r="E288"/>
      <c r="F288"/>
    </row>
    <row r="289" spans="1:6" x14ac:dyDescent="0.25">
      <c r="A289"/>
      <c r="B289"/>
      <c r="C289"/>
      <c r="D289"/>
      <c r="E289"/>
      <c r="F289"/>
    </row>
    <row r="290" spans="1:6" x14ac:dyDescent="0.25">
      <c r="A290"/>
      <c r="B290"/>
      <c r="C290"/>
      <c r="D290"/>
      <c r="E290"/>
      <c r="F290"/>
    </row>
    <row r="291" spans="1:6" x14ac:dyDescent="0.25">
      <c r="A291"/>
      <c r="B291"/>
      <c r="C291"/>
      <c r="D291"/>
      <c r="E291"/>
      <c r="F291"/>
    </row>
    <row r="292" spans="1:6" x14ac:dyDescent="0.25">
      <c r="A292"/>
      <c r="B292"/>
      <c r="C292"/>
      <c r="D292"/>
      <c r="E292"/>
      <c r="F292"/>
    </row>
    <row r="293" spans="1:6" x14ac:dyDescent="0.25">
      <c r="A293"/>
      <c r="B293"/>
      <c r="C293"/>
      <c r="D293"/>
      <c r="E293"/>
      <c r="F293"/>
    </row>
    <row r="294" spans="1:6" x14ac:dyDescent="0.25">
      <c r="A294"/>
      <c r="B294"/>
      <c r="C294"/>
      <c r="D294"/>
      <c r="E294"/>
      <c r="F294"/>
    </row>
    <row r="295" spans="1:6" x14ac:dyDescent="0.25">
      <c r="A295"/>
      <c r="B295"/>
      <c r="C295"/>
      <c r="D295"/>
      <c r="E295"/>
      <c r="F295"/>
    </row>
    <row r="296" spans="1:6" x14ac:dyDescent="0.25">
      <c r="A296"/>
      <c r="B296"/>
      <c r="C296"/>
      <c r="D296"/>
      <c r="E296"/>
      <c r="F296"/>
    </row>
    <row r="297" spans="1:6" x14ac:dyDescent="0.25">
      <c r="A297"/>
      <c r="B297"/>
      <c r="C297"/>
      <c r="D297"/>
      <c r="E297"/>
      <c r="F297"/>
    </row>
    <row r="298" spans="1:6" x14ac:dyDescent="0.25">
      <c r="A298"/>
      <c r="B298"/>
      <c r="C298"/>
      <c r="D298"/>
      <c r="E298"/>
      <c r="F298"/>
    </row>
    <row r="299" spans="1:6" x14ac:dyDescent="0.25">
      <c r="A299"/>
      <c r="B299"/>
      <c r="C299"/>
      <c r="D299"/>
      <c r="E299"/>
      <c r="F299"/>
    </row>
    <row r="300" spans="1:6" x14ac:dyDescent="0.25">
      <c r="A300"/>
      <c r="B300"/>
      <c r="C300"/>
      <c r="D300"/>
      <c r="E300"/>
      <c r="F300"/>
    </row>
    <row r="301" spans="1:6" x14ac:dyDescent="0.25">
      <c r="A301"/>
      <c r="B301"/>
      <c r="C301"/>
      <c r="D301"/>
      <c r="E301"/>
      <c r="F301"/>
    </row>
    <row r="302" spans="1:6" x14ac:dyDescent="0.25">
      <c r="A302"/>
      <c r="B302"/>
      <c r="C302"/>
      <c r="D302"/>
      <c r="E302"/>
      <c r="F302"/>
    </row>
    <row r="303" spans="1:6" x14ac:dyDescent="0.25">
      <c r="A303"/>
      <c r="B303"/>
      <c r="C303"/>
      <c r="D303"/>
      <c r="E303"/>
      <c r="F303"/>
    </row>
    <row r="304" spans="1:6" x14ac:dyDescent="0.25">
      <c r="A304"/>
      <c r="B304"/>
      <c r="C304"/>
      <c r="D304"/>
      <c r="E304"/>
      <c r="F304"/>
    </row>
    <row r="305" spans="1:6" x14ac:dyDescent="0.25">
      <c r="A305"/>
      <c r="B305"/>
      <c r="C305"/>
      <c r="D305"/>
      <c r="E305"/>
      <c r="F305"/>
    </row>
    <row r="306" spans="1:6" x14ac:dyDescent="0.25">
      <c r="A306"/>
      <c r="B306"/>
      <c r="C306"/>
      <c r="D306"/>
      <c r="E306"/>
      <c r="F306"/>
    </row>
    <row r="307" spans="1:6" x14ac:dyDescent="0.25">
      <c r="A307"/>
      <c r="B307"/>
      <c r="C307"/>
      <c r="D307"/>
      <c r="E307"/>
      <c r="F307"/>
    </row>
    <row r="308" spans="1:6" x14ac:dyDescent="0.25">
      <c r="A308"/>
      <c r="B308"/>
      <c r="C308"/>
      <c r="D308"/>
      <c r="E308"/>
      <c r="F308"/>
    </row>
    <row r="309" spans="1:6" x14ac:dyDescent="0.25">
      <c r="A309"/>
      <c r="B309"/>
      <c r="C309"/>
      <c r="D309"/>
      <c r="E309"/>
      <c r="F309"/>
    </row>
    <row r="310" spans="1:6" x14ac:dyDescent="0.25">
      <c r="A310"/>
      <c r="B310"/>
      <c r="C310"/>
      <c r="D310"/>
      <c r="E310"/>
      <c r="F310"/>
    </row>
    <row r="311" spans="1:6" x14ac:dyDescent="0.25">
      <c r="A311"/>
      <c r="B311"/>
      <c r="C311"/>
      <c r="D311"/>
      <c r="E311"/>
      <c r="F311"/>
    </row>
    <row r="312" spans="1:6" x14ac:dyDescent="0.25">
      <c r="A312"/>
      <c r="B312"/>
      <c r="C312"/>
      <c r="D312"/>
      <c r="E312"/>
      <c r="F312"/>
    </row>
    <row r="313" spans="1:6" x14ac:dyDescent="0.25">
      <c r="A313"/>
      <c r="B313"/>
      <c r="C313"/>
      <c r="D313"/>
      <c r="E313"/>
      <c r="F313"/>
    </row>
    <row r="314" spans="1:6" x14ac:dyDescent="0.25">
      <c r="A314"/>
      <c r="B314"/>
      <c r="C314"/>
      <c r="D314"/>
      <c r="E314"/>
      <c r="F314"/>
    </row>
    <row r="315" spans="1:6" x14ac:dyDescent="0.25">
      <c r="A315"/>
      <c r="B315"/>
      <c r="C315"/>
      <c r="D315"/>
      <c r="E315"/>
      <c r="F315"/>
    </row>
    <row r="316" spans="1:6" x14ac:dyDescent="0.25">
      <c r="A316"/>
      <c r="B316"/>
      <c r="C316"/>
      <c r="D316"/>
      <c r="E316"/>
      <c r="F316"/>
    </row>
    <row r="317" spans="1:6" x14ac:dyDescent="0.25">
      <c r="A317"/>
      <c r="B317"/>
      <c r="C317"/>
      <c r="D317"/>
      <c r="E317"/>
      <c r="F317"/>
    </row>
    <row r="318" spans="1:6" x14ac:dyDescent="0.25">
      <c r="A318"/>
      <c r="B318"/>
      <c r="C318"/>
      <c r="D318"/>
      <c r="E318"/>
      <c r="F318"/>
    </row>
    <row r="319" spans="1:6" x14ac:dyDescent="0.25">
      <c r="A319"/>
      <c r="B319"/>
      <c r="C319"/>
      <c r="D319"/>
      <c r="E319"/>
      <c r="F319"/>
    </row>
    <row r="320" spans="1:6" x14ac:dyDescent="0.25">
      <c r="A320"/>
      <c r="B320"/>
      <c r="C320"/>
      <c r="D320"/>
      <c r="E320"/>
      <c r="F320"/>
    </row>
    <row r="321" spans="1:6" x14ac:dyDescent="0.25">
      <c r="A321"/>
      <c r="B321"/>
      <c r="C321"/>
      <c r="D321"/>
      <c r="E321"/>
      <c r="F321"/>
    </row>
    <row r="322" spans="1:6" x14ac:dyDescent="0.25">
      <c r="A322"/>
      <c r="B322"/>
      <c r="C322"/>
      <c r="D322"/>
      <c r="E322"/>
      <c r="F322"/>
    </row>
    <row r="323" spans="1:6" x14ac:dyDescent="0.25">
      <c r="A323"/>
      <c r="B323"/>
      <c r="C323"/>
      <c r="D323"/>
      <c r="E323"/>
      <c r="F323"/>
    </row>
    <row r="324" spans="1:6" x14ac:dyDescent="0.25">
      <c r="A324"/>
      <c r="B324"/>
      <c r="C324"/>
      <c r="D324"/>
      <c r="E324"/>
      <c r="F324"/>
    </row>
    <row r="325" spans="1:6" x14ac:dyDescent="0.25">
      <c r="A325"/>
      <c r="B325"/>
      <c r="C325"/>
      <c r="D325"/>
      <c r="E325"/>
      <c r="F325"/>
    </row>
    <row r="326" spans="1:6" x14ac:dyDescent="0.25">
      <c r="A326"/>
      <c r="B326"/>
      <c r="C326"/>
      <c r="D326"/>
      <c r="E326"/>
      <c r="F326"/>
    </row>
    <row r="327" spans="1:6" x14ac:dyDescent="0.25">
      <c r="A327"/>
      <c r="B327"/>
      <c r="C327"/>
      <c r="D327"/>
      <c r="E327"/>
      <c r="F327"/>
    </row>
    <row r="328" spans="1:6" x14ac:dyDescent="0.25">
      <c r="A328"/>
      <c r="B328"/>
      <c r="C328"/>
      <c r="D328"/>
      <c r="E328"/>
      <c r="F328"/>
    </row>
    <row r="329" spans="1:6" x14ac:dyDescent="0.25">
      <c r="A329"/>
      <c r="B329"/>
      <c r="C329"/>
      <c r="D329"/>
      <c r="E329"/>
    </row>
    <row r="330" spans="1:6" x14ac:dyDescent="0.25">
      <c r="A330"/>
      <c r="B330"/>
      <c r="C330"/>
      <c r="D330"/>
      <c r="E330"/>
    </row>
    <row r="331" spans="1:6" x14ac:dyDescent="0.25">
      <c r="A331"/>
      <c r="B331"/>
      <c r="C331"/>
      <c r="D331"/>
      <c r="E331"/>
    </row>
    <row r="332" spans="1:6" x14ac:dyDescent="0.25">
      <c r="A332"/>
      <c r="B332"/>
      <c r="C332"/>
      <c r="D332"/>
      <c r="E332"/>
    </row>
    <row r="333" spans="1:6" x14ac:dyDescent="0.25">
      <c r="A333"/>
      <c r="B333"/>
      <c r="C333"/>
      <c r="D333"/>
      <c r="E333"/>
    </row>
    <row r="334" spans="1:6" x14ac:dyDescent="0.25">
      <c r="A334"/>
      <c r="B334"/>
      <c r="C334"/>
      <c r="D334"/>
      <c r="E334"/>
    </row>
    <row r="335" spans="1:6" x14ac:dyDescent="0.25">
      <c r="A335"/>
      <c r="B335"/>
      <c r="C335"/>
      <c r="D335"/>
      <c r="E335"/>
    </row>
    <row r="336" spans="1:6" x14ac:dyDescent="0.25">
      <c r="A336"/>
      <c r="B336"/>
      <c r="C336"/>
      <c r="D336"/>
      <c r="E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sheetData>
  <mergeCells count="41">
    <mergeCell ref="B190:B194"/>
    <mergeCell ref="B195:C195"/>
    <mergeCell ref="B198:C198"/>
    <mergeCell ref="B200:B210"/>
    <mergeCell ref="B211:C211"/>
    <mergeCell ref="B213:B217"/>
    <mergeCell ref="A212:C212"/>
    <mergeCell ref="A213:A218"/>
    <mergeCell ref="A219:C219"/>
    <mergeCell ref="A220:C220"/>
    <mergeCell ref="B142:B149"/>
    <mergeCell ref="B150:C150"/>
    <mergeCell ref="B152:B165"/>
    <mergeCell ref="B166:C166"/>
    <mergeCell ref="B168:B179"/>
    <mergeCell ref="B180:C180"/>
    <mergeCell ref="A151:C151"/>
    <mergeCell ref="A152:A166"/>
    <mergeCell ref="A167:C167"/>
    <mergeCell ref="A168:A180"/>
    <mergeCell ref="A181:C181"/>
    <mergeCell ref="A182:A188"/>
    <mergeCell ref="B182:B187"/>
    <mergeCell ref="B188:C188"/>
    <mergeCell ref="A142:A150"/>
    <mergeCell ref="A196:C196"/>
    <mergeCell ref="A197:A198"/>
    <mergeCell ref="A199:C199"/>
    <mergeCell ref="A200:A211"/>
    <mergeCell ref="B218:C218"/>
    <mergeCell ref="A189:C189"/>
    <mergeCell ref="A190:A195"/>
    <mergeCell ref="A135:E135"/>
    <mergeCell ref="A136:B136"/>
    <mergeCell ref="D136:E136"/>
    <mergeCell ref="D137:E137"/>
    <mergeCell ref="A66:E66"/>
    <mergeCell ref="A67:B67"/>
    <mergeCell ref="D67:E67"/>
    <mergeCell ref="D68:E68"/>
    <mergeCell ref="D69:E69"/>
  </mergeCells>
  <conditionalFormatting sqref="J1:J141 J275:J1048576">
    <cfRule type="cellIs" dxfId="1" priority="1" operator="lessThan">
      <formula>0.9</formula>
    </cfRule>
    <cfRule type="cellIs" dxfId="0" priority="2" operator="greaterThan">
      <formula>0.89</formula>
    </cfRule>
  </conditionalFormatting>
  <pageMargins left="0.7" right="0.7" top="0.75" bottom="0.75" header="0.3" footer="0.3"/>
  <pageSetup orientation="portrait" r:id="rId3"/>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dimension ref="A1"/>
  <sheetViews>
    <sheetView topLeftCell="A25" workbookViewId="0"/>
  </sheetViews>
  <sheetFormatPr baseColWidth="10" defaultColWidth="9.109375"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Resultados</vt:lpstr>
      <vt:lpstr>Instrucciones</vt:lpstr>
      <vt:lpstr>base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Camacho</dc:creator>
  <cp:lastModifiedBy>CRISTIAN JOSE VERGARA ALFONSO</cp:lastModifiedBy>
  <dcterms:created xsi:type="dcterms:W3CDTF">2011-01-26T15:01:09Z</dcterms:created>
  <dcterms:modified xsi:type="dcterms:W3CDTF">2025-11-26T16:36:24Z</dcterms:modified>
</cp:coreProperties>
</file>